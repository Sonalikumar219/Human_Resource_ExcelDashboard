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lsan\OneDrive\Desktop\"/>
    </mc:Choice>
  </mc:AlternateContent>
  <xr:revisionPtr revIDLastSave="0" documentId="8_{B00F62B8-22E1-4BF3-B240-745CE2AD5BD8}" xr6:coauthVersionLast="47" xr6:coauthVersionMax="47" xr10:uidLastSave="{00000000-0000-0000-0000-000000000000}"/>
  <bookViews>
    <workbookView xWindow="-110" yWindow="-110" windowWidth="19420" windowHeight="10300" firstSheet="7" activeTab="10" xr2:uid="{00000000-000D-0000-FFFF-FFFF00000000}"/>
  </bookViews>
  <sheets>
    <sheet name="KPI" sheetId="7" r:id="rId1"/>
    <sheet name="Rating" sheetId="9" r:id="rId2"/>
    <sheet name="Gender" sheetId="10" r:id="rId3"/>
    <sheet name="Education byAattrition" sheetId="11" r:id="rId4"/>
    <sheet name="Attrition by job" sheetId="12" r:id="rId5"/>
    <sheet name="Dept_by_attrition" sheetId="13" r:id="rId6"/>
    <sheet name="ATTRITION by Age Group" sheetId="14" r:id="rId7"/>
    <sheet name="Marital status" sheetId="15" r:id="rId8"/>
    <sheet name="Data" sheetId="1" r:id="rId9"/>
    <sheet name="Images" sheetId="2" r:id="rId10"/>
    <sheet name="Dashboard" sheetId="3" r:id="rId11"/>
    <sheet name="Sheet2" sheetId="8" r:id="rId12"/>
    <sheet name="Background 2" sheetId="4" r:id="rId13"/>
    <sheet name="Background 3" sheetId="5" r:id="rId14"/>
    <sheet name="Background 4" sheetId="6" r:id="rId15"/>
  </sheets>
  <definedNames>
    <definedName name="_xlchart.v1.2" hidden="1">'Attrition by job'!$D$4:$D$12</definedName>
    <definedName name="_xlchart.v1.3" hidden="1">'Attrition by job'!$E$3</definedName>
    <definedName name="_xlchart.v1.4" hidden="1">'Attrition by job'!$E$4:$E$12</definedName>
    <definedName name="_xlchart.v2.0" hidden="1">'Marital status'!$D$4:$D$6</definedName>
    <definedName name="_xlchart.v2.1" hidden="1">'Marital status'!$E$4:$E$6</definedName>
    <definedName name="Slicer_Department">#N/A</definedName>
    <definedName name="Slicer_Education_Field2">#N/A</definedName>
    <definedName name="Slicer_Gender1">#N/A</definedName>
  </definedNames>
  <calcPr calcId="191029"/>
  <pivotCaches>
    <pivotCache cacheId="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5" i="15" l="1"/>
  <c r="D6" i="15"/>
  <c r="D4" i="15"/>
  <c r="D5" i="12"/>
  <c r="D6" i="12"/>
  <c r="D7" i="12"/>
  <c r="D8" i="12"/>
  <c r="D9" i="12"/>
  <c r="D10" i="12"/>
  <c r="D11" i="12"/>
  <c r="D12" i="12"/>
  <c r="D4" i="12"/>
  <c r="E11" i="12"/>
  <c r="E6" i="12"/>
  <c r="E8" i="12"/>
  <c r="E5" i="15"/>
  <c r="B11" i="10"/>
  <c r="E6" i="15"/>
  <c r="A7" i="7"/>
  <c r="E9" i="12"/>
  <c r="B7" i="7"/>
  <c r="B10" i="10"/>
  <c r="C7" i="7"/>
  <c r="E10" i="12"/>
  <c r="E5" i="12"/>
  <c r="E12" i="12"/>
  <c r="E4" i="15"/>
  <c r="B6" i="9"/>
  <c r="E4" i="12"/>
  <c r="E7" i="12"/>
  <c r="C10" i="10" l="1"/>
  <c r="C11" i="10"/>
  <c r="E7" i="7"/>
  <c r="D7" i="7"/>
  <c r="C6" i="9"/>
  <c r="B7" i="9"/>
  <c r="C7" i="9" s="1"/>
</calcChain>
</file>

<file path=xl/sharedStrings.xml><?xml version="1.0" encoding="utf-8"?>
<sst xmlns="http://schemas.openxmlformats.org/spreadsheetml/2006/main" count="19212" uniqueCount="1571">
  <si>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</si>
  <si>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</si>
  <si>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</si>
  <si>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</si>
  <si>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</si>
  <si>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</si>
  <si>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</si>
  <si>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</si>
  <si>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</si>
  <si>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</si>
  <si>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</si>
  <si>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</si>
  <si>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</si>
  <si>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</si>
  <si>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</si>
  <si>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</si>
  <si>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</si>
  <si>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</si>
  <si>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</si>
  <si>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</si>
  <si>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</si>
  <si>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</si>
  <si>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</si>
  <si>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</si>
  <si>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</si>
  <si>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</si>
  <si>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</si>
  <si>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</si>
  <si>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</si>
  <si>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</si>
  <si>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</si>
  <si>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</si>
  <si>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</si>
  <si>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</si>
  <si>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</si>
  <si>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</si>
  <si>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</si>
  <si>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</si>
  <si>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</si>
  <si>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</si>
  <si>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</si>
  <si>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</si>
  <si>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</si>
  <si>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</si>
  <si>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</si>
  <si>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</si>
  <si>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</si>
  <si>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</si>
  <si>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</si>
  <si>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</si>
  <si>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</si>
  <si>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</si>
  <si>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</si>
  <si>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</si>
  <si>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</si>
  <si>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</si>
  <si>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</si>
  <si>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</si>
  <si>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</si>
  <si>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</si>
  <si>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</si>
  <si>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</si>
  <si>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</si>
  <si>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</si>
  <si>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</si>
  <si>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</si>
  <si>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</si>
  <si>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</si>
  <si>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</si>
  <si>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</si>
  <si>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</si>
  <si>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</si>
  <si>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</si>
  <si>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</si>
  <si>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</si>
  <si>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</si>
  <si>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</si>
  <si>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</si>
  <si>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</si>
  <si>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</si>
  <si>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</si>
  <si>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</si>
  <si>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</si>
  <si>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</si>
  <si>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</si>
  <si>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</si>
  <si>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</si>
  <si>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</si>
  <si>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</si>
  <si>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</si>
  <si>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</si>
  <si>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</si>
  <si>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</si>
  <si>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</si>
  <si>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</si>
  <si>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</si>
  <si>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</si>
  <si>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</si>
  <si>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</si>
  <si>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</si>
  <si>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</si>
  <si>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</si>
  <si>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</si>
  <si>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</si>
  <si>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</si>
  <si>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</si>
  <si>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</si>
  <si>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</si>
  <si>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</si>
  <si>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</si>
  <si>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</si>
  <si>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</si>
  <si>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</si>
  <si>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</si>
  <si>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</si>
  <si>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</si>
  <si>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</si>
  <si>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</si>
  <si>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</si>
  <si>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</si>
  <si>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</si>
  <si>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</si>
  <si>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</si>
  <si>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</si>
  <si>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</si>
  <si>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</si>
  <si>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</si>
  <si>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</si>
  <si>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</si>
  <si>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</si>
  <si>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</si>
  <si>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</si>
  <si>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</si>
  <si>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</si>
  <si>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</si>
  <si>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</si>
  <si>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</si>
  <si>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</si>
  <si>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</si>
  <si>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</si>
  <si>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</si>
  <si>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</si>
  <si>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</si>
  <si>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</si>
  <si>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</si>
  <si>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</si>
  <si>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</si>
  <si>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</si>
  <si>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</si>
  <si>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</si>
  <si>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</si>
  <si>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</si>
  <si>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</si>
  <si>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</si>
  <si>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</si>
  <si>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</si>
  <si>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</si>
  <si>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</si>
  <si>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</si>
  <si>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</si>
  <si>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</si>
  <si>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</si>
  <si>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</si>
  <si>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</si>
  <si>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</si>
  <si>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</si>
  <si>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</si>
  <si>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</si>
  <si>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</si>
  <si>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</si>
  <si>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</si>
  <si>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</si>
  <si>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</si>
  <si>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</si>
  <si>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</si>
  <si>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</si>
  <si>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</si>
  <si>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</si>
  <si>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</si>
  <si>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</si>
  <si>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</si>
  <si>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</si>
  <si>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</si>
  <si>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</si>
  <si>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</si>
  <si>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</si>
  <si>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</si>
  <si>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</si>
  <si>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</si>
  <si>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</si>
  <si>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</si>
  <si>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</si>
  <si>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</si>
  <si>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</si>
  <si>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</si>
  <si>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</si>
  <si>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</si>
  <si>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</si>
  <si>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</si>
  <si>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</si>
  <si>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</si>
  <si>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</si>
  <si>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</si>
  <si>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</si>
  <si>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</si>
  <si>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</si>
  <si>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</si>
  <si>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</si>
  <si>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</si>
  <si>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</si>
  <si>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</si>
  <si>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</si>
  <si>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</si>
  <si>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</si>
  <si>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</si>
  <si>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</si>
  <si>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</si>
  <si>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</si>
  <si>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</si>
  <si>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</si>
  <si>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</si>
  <si>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</si>
  <si>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</si>
  <si>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</si>
  <si>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</si>
  <si>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</si>
  <si>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</si>
  <si>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</si>
  <si>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</si>
  <si>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</si>
  <si>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</si>
  <si>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</si>
  <si>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</si>
  <si>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</si>
  <si>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</si>
  <si>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</si>
  <si>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</si>
  <si>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</si>
  <si>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</si>
  <si>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</si>
  <si>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</si>
  <si>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</si>
  <si>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</si>
  <si>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</si>
  <si>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</si>
  <si>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</si>
  <si>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</si>
  <si>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</si>
  <si>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</si>
  <si>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</si>
  <si>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</si>
  <si>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</si>
  <si>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</si>
  <si>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</si>
  <si>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</si>
  <si>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</si>
  <si>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</si>
  <si>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</si>
  <si>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</si>
  <si>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</si>
  <si>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</si>
  <si>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</si>
  <si>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</si>
  <si>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</si>
  <si>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</si>
  <si>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</si>
  <si>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</si>
  <si>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</si>
  <si>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</si>
  <si>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</si>
  <si>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</si>
  <si>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</si>
  <si>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</si>
  <si>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</si>
  <si>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</si>
  <si>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</si>
  <si>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</si>
  <si>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</si>
  <si>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</si>
  <si>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</si>
  <si>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</si>
  <si>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</si>
  <si>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</si>
  <si>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</si>
  <si>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</si>
  <si>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</si>
  <si>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</si>
  <si>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</si>
  <si>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</si>
  <si>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</si>
  <si>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</si>
  <si>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</si>
  <si>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</si>
  <si>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</si>
  <si>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</si>
  <si>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</si>
  <si>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</si>
  <si>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</si>
  <si>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</si>
  <si>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</si>
  <si>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</si>
  <si>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</si>
  <si>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</si>
  <si>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</si>
  <si>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</si>
  <si>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</si>
  <si>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</si>
  <si>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</si>
  <si>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</si>
  <si>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</si>
  <si>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</si>
  <si>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</si>
  <si>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</si>
  <si>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</si>
  <si>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</si>
  <si>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</si>
  <si>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</si>
  <si>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</si>
  <si>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</si>
  <si>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</si>
  <si>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</si>
  <si>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</si>
  <si>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</si>
  <si>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</si>
  <si>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</si>
  <si>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</si>
  <si>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</si>
  <si>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</si>
  <si>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</si>
  <si>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</si>
  <si>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</si>
  <si>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</si>
  <si>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</si>
  <si>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</si>
  <si>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</si>
  <si>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</si>
  <si>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</si>
  <si>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</si>
  <si>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</si>
  <si>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</si>
  <si>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</si>
  <si>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</si>
  <si>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</si>
  <si>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</si>
  <si>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</si>
  <si>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</si>
  <si>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</si>
  <si>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</si>
  <si>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</si>
  <si>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</si>
  <si>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</si>
  <si>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</si>
  <si>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</si>
  <si>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</si>
  <si>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</si>
  <si>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</si>
  <si>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</si>
  <si>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</si>
  <si>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</si>
  <si>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</si>
  <si>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</si>
  <si>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</si>
  <si>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</si>
  <si>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</si>
  <si>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</si>
  <si>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</si>
  <si>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</si>
  <si>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</si>
  <si>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</si>
  <si>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</si>
  <si>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</si>
  <si>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</si>
  <si>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</si>
  <si>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</si>
  <si>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</si>
  <si>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</si>
  <si>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</si>
  <si>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</si>
  <si>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</si>
  <si>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</si>
  <si>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</si>
  <si>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</si>
  <si>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</si>
  <si>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</si>
  <si>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</si>
  <si>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</si>
  <si>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</si>
  <si>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</si>
  <si>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</si>
  <si>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</si>
  <si>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</si>
  <si>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</si>
  <si>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</si>
  <si>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</si>
  <si>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</si>
  <si>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</si>
  <si>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</si>
  <si>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</si>
  <si>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</si>
  <si>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</si>
  <si>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</si>
  <si>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</si>
  <si>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</si>
  <si>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</si>
  <si>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</si>
  <si>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</si>
  <si>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</si>
  <si>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</si>
  <si>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</si>
  <si>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</si>
  <si>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</si>
  <si>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</si>
  <si>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</si>
  <si>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</si>
  <si>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</si>
  <si>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</si>
  <si>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</si>
  <si>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</si>
  <si>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</si>
  <si>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</si>
  <si>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</si>
  <si>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</si>
  <si>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</si>
  <si>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</si>
  <si>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</si>
  <si>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</si>
  <si>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</si>
  <si>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</si>
  <si>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</si>
  <si>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</si>
  <si>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</si>
  <si>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</si>
  <si>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</si>
  <si>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</si>
  <si>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</si>
  <si>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</si>
  <si>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</si>
  <si>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</si>
  <si>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</si>
  <si>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</si>
  <si>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</si>
  <si>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</si>
  <si>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</si>
  <si>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</si>
  <si>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</si>
  <si>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</si>
  <si>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</si>
  <si>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</si>
  <si>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</si>
  <si>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</si>
  <si>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</si>
  <si>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</si>
  <si>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</si>
  <si>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</si>
  <si>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</si>
  <si>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</si>
  <si>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</si>
  <si>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</si>
  <si>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</si>
  <si>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</si>
  <si>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</si>
  <si>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</si>
  <si>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</si>
  <si>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</si>
  <si>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</si>
  <si>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</si>
  <si>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</si>
  <si>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</si>
  <si>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</si>
  <si>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</si>
  <si>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</si>
  <si>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</si>
  <si>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</si>
  <si>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</si>
  <si>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</si>
  <si>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</si>
  <si>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</si>
  <si>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</si>
  <si>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</si>
  <si>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</si>
  <si>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</si>
  <si>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</si>
  <si>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</si>
  <si>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</si>
  <si>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</si>
  <si>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</si>
  <si>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</si>
  <si>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</si>
  <si>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</si>
  <si>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</si>
  <si>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</si>
  <si>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</si>
  <si>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</si>
  <si>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</si>
  <si>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</si>
  <si>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</si>
  <si>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</si>
  <si>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</si>
  <si>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</si>
  <si>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</si>
  <si>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</si>
  <si>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</si>
  <si>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</si>
  <si>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</si>
  <si>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</si>
  <si>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</si>
  <si>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</si>
  <si>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</si>
  <si>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</si>
  <si>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</si>
  <si>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</si>
  <si>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</si>
  <si>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</si>
  <si>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</si>
  <si>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</si>
  <si>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</si>
  <si>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</si>
  <si>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</si>
  <si>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</si>
  <si>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</si>
  <si>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</si>
  <si>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</si>
  <si>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</si>
  <si>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</si>
  <si>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</si>
  <si>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</si>
  <si>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</si>
  <si>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</si>
  <si>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</si>
  <si>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</si>
  <si>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</si>
  <si>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</si>
  <si>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</si>
  <si>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</si>
  <si>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</si>
  <si>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</si>
  <si>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</si>
  <si>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</si>
  <si>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</si>
  <si>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</si>
  <si>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</si>
  <si>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</si>
  <si>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</si>
  <si>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</si>
  <si>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</si>
  <si>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</si>
  <si>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</si>
  <si>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</si>
  <si>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</si>
  <si>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</si>
  <si>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</si>
  <si>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</si>
  <si>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</si>
  <si>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</si>
  <si>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</si>
  <si>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</si>
  <si>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</si>
  <si>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</si>
  <si>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</si>
  <si>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</si>
  <si>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</si>
  <si>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</si>
  <si>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</si>
  <si>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</si>
  <si>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</si>
  <si>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</si>
  <si>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</si>
  <si>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</si>
  <si>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</si>
  <si>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</si>
  <si>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</si>
  <si>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</si>
  <si>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</si>
  <si>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</si>
  <si>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</si>
  <si>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</si>
  <si>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</si>
  <si>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</si>
  <si>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</si>
  <si>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</si>
  <si>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</si>
  <si>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</si>
  <si>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</si>
  <si>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</si>
  <si>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</si>
  <si>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</si>
  <si>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</si>
  <si>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</si>
  <si>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</si>
  <si>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</si>
  <si>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</si>
  <si>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</si>
  <si>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</si>
  <si>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</si>
  <si>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</si>
  <si>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</si>
  <si>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</si>
  <si>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</si>
  <si>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</si>
  <si>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</si>
  <si>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</si>
  <si>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</si>
  <si>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</si>
  <si>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</si>
  <si>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</si>
  <si>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</si>
  <si>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</si>
  <si>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</si>
  <si>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</si>
  <si>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</si>
  <si>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</si>
  <si>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</si>
  <si>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</si>
  <si>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</si>
  <si>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</si>
  <si>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</si>
  <si>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</si>
  <si>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</si>
  <si>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</si>
  <si>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</si>
  <si>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</si>
  <si>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</si>
  <si>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</si>
  <si>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</si>
  <si>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</si>
  <si>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</si>
  <si>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</si>
  <si>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</si>
  <si>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</si>
  <si>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</si>
  <si>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</si>
  <si>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</si>
  <si>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</si>
  <si>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</si>
  <si>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</si>
  <si>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</si>
  <si>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</si>
  <si>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</si>
  <si>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</si>
  <si>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</si>
  <si>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</si>
  <si>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</si>
  <si>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</si>
  <si>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</si>
  <si>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</si>
  <si>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</si>
  <si>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</si>
  <si>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</si>
  <si>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</si>
  <si>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</si>
  <si>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</si>
  <si>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</si>
  <si>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</si>
  <si>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</si>
  <si>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</si>
  <si>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</si>
  <si>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</si>
  <si>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</si>
  <si>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</si>
  <si>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</si>
  <si>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</si>
  <si>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</si>
  <si>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</si>
  <si>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</si>
  <si>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</si>
  <si>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</si>
  <si>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</si>
  <si>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</si>
  <si>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</si>
  <si>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</si>
  <si>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</si>
  <si>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</si>
  <si>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</si>
  <si>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</si>
  <si>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</si>
  <si>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</si>
  <si>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</si>
  <si>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</si>
  <si>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</si>
  <si>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</si>
  <si>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</si>
  <si>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</si>
  <si>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</si>
  <si>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</si>
  <si>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</si>
  <si>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</si>
  <si>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</si>
  <si>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</si>
  <si>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</si>
  <si>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</si>
  <si>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</si>
  <si>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</si>
  <si>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</si>
  <si>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</si>
  <si>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</si>
  <si>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</si>
  <si>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</si>
  <si>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</si>
  <si>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</si>
  <si>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</si>
  <si>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</si>
  <si>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</si>
  <si>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</si>
  <si>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</si>
  <si>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</si>
  <si>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</si>
  <si>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</si>
  <si>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</si>
  <si>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</si>
  <si>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</si>
  <si>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</si>
  <si>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</si>
  <si>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</si>
  <si>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</si>
  <si>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</si>
  <si>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</si>
  <si>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</si>
  <si>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</si>
  <si>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</si>
  <si>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</si>
  <si>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</si>
  <si>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</si>
  <si>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</si>
  <si>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</si>
  <si>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</si>
  <si>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</si>
  <si>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</si>
  <si>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</si>
  <si>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</si>
  <si>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</si>
  <si>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</si>
  <si>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</si>
  <si>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</si>
  <si>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</si>
  <si>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</si>
  <si>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</si>
  <si>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</si>
  <si>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</si>
  <si>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</si>
  <si>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</si>
  <si>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</si>
  <si>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</si>
  <si>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</si>
  <si>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</si>
  <si>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</si>
  <si>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</si>
  <si>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</si>
  <si>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</si>
  <si>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</si>
  <si>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</si>
  <si>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</si>
  <si>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</si>
  <si>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</si>
  <si>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</si>
  <si>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</si>
  <si>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</si>
  <si>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</si>
  <si>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</si>
  <si>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</si>
  <si>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</si>
  <si>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</si>
  <si>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</si>
  <si>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</si>
  <si>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</si>
  <si>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</si>
  <si>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</si>
  <si>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</si>
  <si>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</si>
  <si>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</si>
  <si>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</si>
  <si>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</si>
  <si>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</si>
  <si>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</si>
  <si>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</si>
  <si>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</si>
  <si>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</si>
  <si>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</si>
  <si>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</si>
  <si>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</si>
  <si>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</si>
  <si>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</si>
  <si>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</si>
  <si>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</si>
  <si>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</si>
  <si>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</si>
  <si>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</si>
  <si>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</si>
  <si>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</si>
  <si>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</si>
  <si>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</si>
  <si>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</si>
  <si>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</si>
  <si>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</si>
  <si>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</si>
  <si>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</si>
  <si>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</si>
  <si>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</si>
  <si>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</si>
  <si>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</si>
  <si>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</si>
  <si>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</si>
  <si>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</si>
  <si>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</si>
  <si>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</si>
  <si>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</si>
  <si>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</si>
  <si>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</si>
  <si>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</si>
  <si>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</si>
  <si>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</si>
  <si>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</si>
  <si>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</si>
  <si>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</si>
  <si>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</si>
  <si>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</si>
  <si>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</si>
  <si>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</si>
  <si>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</si>
  <si>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</si>
  <si>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</si>
  <si>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</si>
  <si>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</si>
  <si>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</si>
  <si>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</si>
  <si>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</si>
  <si>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</si>
  <si>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</si>
  <si>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</si>
  <si>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</si>
  <si>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</si>
  <si>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</si>
  <si>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</si>
  <si>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</si>
  <si>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</si>
  <si>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</si>
  <si>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</si>
  <si>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</si>
  <si>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</si>
  <si>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</si>
  <si>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</si>
  <si>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</si>
  <si>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</si>
  <si>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</si>
  <si>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</si>
  <si>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</si>
  <si>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</si>
  <si>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</si>
  <si>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</si>
  <si>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</si>
  <si>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</si>
  <si>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</si>
  <si>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</si>
  <si>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</si>
  <si>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</si>
  <si>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</si>
  <si>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</si>
  <si>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</si>
  <si>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</si>
  <si>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</si>
  <si>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</si>
  <si>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</si>
  <si>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</si>
  <si>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</si>
  <si>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</si>
  <si>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</si>
  <si>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</si>
  <si>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</si>
  <si>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</si>
  <si>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</si>
  <si>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</si>
  <si>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</si>
  <si>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</si>
  <si>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</si>
  <si>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</si>
  <si>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</si>
  <si>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</si>
  <si>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</si>
  <si>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</si>
  <si>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</si>
  <si>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</si>
  <si>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</si>
  <si>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</si>
  <si>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</si>
  <si>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</si>
  <si>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</si>
  <si>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</si>
  <si>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</si>
  <si>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</si>
  <si>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</si>
  <si>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</si>
  <si>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</si>
  <si>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</si>
  <si>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</si>
  <si>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</si>
  <si>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</si>
  <si>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</si>
  <si>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</si>
  <si>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</si>
  <si>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</si>
  <si>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</si>
  <si>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</si>
  <si>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</si>
  <si>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</si>
  <si>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</si>
  <si>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</si>
  <si>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</si>
  <si>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</si>
  <si>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</si>
  <si>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</si>
  <si>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</si>
  <si>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</si>
  <si>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</si>
  <si>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</si>
  <si>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</si>
  <si>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</si>
  <si>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</si>
  <si>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</si>
  <si>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</si>
  <si>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</si>
  <si>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</si>
  <si>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</si>
  <si>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</si>
  <si>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</si>
  <si>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</si>
  <si>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</si>
  <si>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</si>
  <si>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</si>
  <si>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</si>
  <si>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</si>
  <si>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</si>
  <si>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</si>
  <si>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</si>
  <si>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</si>
  <si>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</si>
  <si>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</si>
  <si>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</si>
  <si>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</si>
  <si>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</si>
  <si>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</si>
  <si>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</si>
  <si>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</si>
  <si>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</si>
  <si>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</si>
  <si>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</si>
  <si>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</si>
  <si>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</si>
  <si>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</si>
  <si>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</si>
  <si>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</si>
  <si>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</si>
  <si>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</si>
  <si>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</si>
  <si>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</si>
  <si>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</si>
  <si>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</si>
  <si>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</si>
  <si>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</si>
  <si>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</si>
  <si>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</si>
  <si>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</si>
  <si>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</si>
  <si>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</si>
  <si>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</si>
  <si>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</si>
  <si>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</si>
  <si>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</si>
  <si>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</si>
  <si>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</si>
  <si>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</si>
  <si>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</si>
  <si>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</si>
  <si>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</si>
  <si>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</si>
  <si>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</si>
  <si>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</si>
  <si>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</si>
  <si>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</si>
  <si>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</si>
  <si>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</si>
  <si>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</si>
  <si>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</si>
  <si>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</si>
  <si>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</si>
  <si>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</si>
  <si>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</si>
  <si>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</si>
  <si>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</si>
  <si>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</si>
  <si>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</si>
  <si>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</si>
  <si>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</si>
  <si>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</si>
  <si>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</si>
  <si>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</si>
  <si>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</si>
  <si>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</si>
  <si>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</si>
  <si>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</si>
  <si>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</si>
  <si>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</si>
  <si>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</si>
  <si>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</si>
  <si>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</si>
  <si>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</si>
  <si>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</si>
  <si>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</si>
  <si>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</si>
  <si>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</si>
  <si>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</si>
  <si>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</si>
  <si>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</si>
  <si>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</si>
  <si>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</si>
  <si>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</si>
  <si>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</si>
  <si>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</si>
  <si>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</si>
  <si>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</si>
  <si>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</si>
  <si>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</si>
  <si>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</si>
  <si>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</si>
  <si>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</si>
  <si>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</si>
  <si>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</si>
  <si>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</si>
  <si>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</si>
  <si>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</si>
  <si>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</si>
  <si>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</si>
  <si>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</si>
  <si>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</si>
  <si>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</si>
  <si>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</si>
  <si>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</si>
  <si>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</si>
  <si>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</si>
  <si>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</si>
  <si>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</si>
  <si>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</si>
  <si>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</si>
  <si>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</si>
  <si>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</si>
  <si>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</si>
  <si>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</si>
  <si>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</si>
  <si>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</si>
  <si>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</si>
  <si>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</si>
  <si>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</si>
  <si>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</si>
  <si>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</si>
  <si>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</si>
  <si>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</si>
  <si>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</si>
  <si>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</si>
  <si>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</si>
  <si>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</si>
  <si>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</si>
  <si>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</si>
  <si>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</si>
  <si>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</si>
  <si>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</si>
  <si>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</si>
  <si>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</si>
  <si>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</si>
  <si>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</si>
  <si>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</si>
  <si>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</si>
  <si>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</si>
  <si>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</si>
  <si>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</si>
  <si>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</si>
  <si>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</si>
  <si>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</si>
  <si>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</si>
  <si>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</si>
  <si>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</si>
  <si>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</si>
  <si>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</si>
  <si>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</si>
  <si>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</si>
  <si>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</si>
  <si>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</si>
  <si>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</si>
  <si>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</si>
  <si>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</si>
  <si>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</si>
  <si>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</si>
  <si>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</si>
  <si>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</si>
  <si>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</si>
  <si>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</si>
  <si>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</si>
  <si>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</si>
  <si>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</si>
  <si>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</si>
  <si>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</si>
  <si>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</si>
  <si>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</si>
  <si>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</si>
  <si>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</si>
  <si>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</si>
  <si>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</si>
  <si>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</si>
  <si>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</si>
  <si>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</si>
  <si>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</si>
  <si>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</si>
  <si>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</si>
  <si>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</si>
  <si>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</si>
  <si>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</si>
  <si>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</si>
  <si>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</si>
  <si>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</si>
  <si>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</si>
  <si>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</si>
  <si>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</si>
  <si>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</si>
  <si>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</si>
  <si>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</si>
  <si>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</si>
  <si>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</si>
  <si>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</si>
  <si>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</si>
  <si>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</si>
  <si>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</si>
  <si>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</si>
  <si>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</si>
  <si>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</si>
  <si>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</si>
  <si>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</si>
  <si>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</si>
  <si>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</si>
  <si>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</si>
  <si>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</si>
  <si>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</si>
  <si>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</si>
  <si>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</si>
  <si>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</si>
  <si>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</si>
  <si>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</si>
  <si>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</si>
  <si>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</si>
  <si>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</si>
  <si>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</si>
  <si>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</si>
  <si>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</si>
  <si>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</si>
  <si>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</si>
  <si>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</si>
  <si>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</si>
  <si>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</si>
  <si>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</si>
  <si>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</si>
  <si>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</si>
  <si>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</si>
  <si>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</si>
  <si>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</si>
  <si>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</si>
  <si>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</si>
  <si>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</si>
  <si>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</si>
  <si>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</si>
  <si>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</si>
  <si>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</si>
  <si>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</si>
  <si>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</si>
  <si>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</si>
  <si>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</si>
  <si>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</si>
  <si>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</si>
  <si>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</si>
  <si>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</si>
  <si>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</si>
  <si>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</si>
  <si>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</si>
  <si>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</si>
  <si>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</si>
  <si>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</si>
  <si>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</si>
  <si>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</si>
  <si>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</si>
  <si>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</si>
  <si>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</si>
  <si>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</si>
  <si>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</si>
  <si>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</si>
  <si>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</si>
  <si>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</si>
  <si>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</si>
  <si>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</si>
  <si>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</si>
  <si>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</si>
  <si>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</si>
  <si>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</si>
  <si>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</si>
  <si>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</si>
  <si>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</si>
  <si>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</si>
  <si>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</si>
  <si>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</si>
  <si>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</si>
  <si>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</si>
  <si>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</si>
  <si>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</si>
  <si>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</si>
  <si>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</si>
  <si>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</si>
  <si>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</si>
  <si>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</si>
  <si>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</si>
  <si>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</si>
  <si>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</si>
  <si>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</si>
  <si>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</si>
  <si>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</si>
  <si>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</si>
  <si>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</si>
  <si>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</si>
  <si>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</si>
  <si>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</si>
  <si>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</si>
  <si>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</si>
  <si>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</si>
  <si>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</si>
  <si>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</si>
  <si>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</si>
  <si>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</si>
  <si>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</si>
  <si>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</si>
  <si>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</si>
  <si>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</si>
  <si>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</si>
  <si>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</si>
  <si>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</si>
  <si>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</si>
  <si>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</si>
  <si>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</si>
  <si>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</si>
  <si>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</si>
  <si>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</si>
  <si>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</si>
  <si>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</si>
  <si>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</si>
  <si>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</si>
  <si>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</si>
  <si>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</si>
  <si>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</si>
  <si>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</si>
  <si>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</si>
  <si>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</si>
  <si>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</si>
  <si>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</si>
  <si>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</si>
  <si>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</si>
  <si>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</si>
  <si>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</si>
  <si>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</si>
  <si>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</si>
  <si>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</si>
  <si>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</si>
  <si>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</si>
  <si>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</si>
  <si>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</si>
  <si>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</si>
  <si>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</si>
  <si>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</si>
  <si>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</si>
  <si>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</si>
  <si>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</si>
  <si>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</si>
  <si>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</si>
  <si>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</si>
  <si>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</si>
  <si>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</si>
  <si>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</si>
  <si>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</si>
  <si>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</si>
  <si>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</si>
  <si>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</si>
  <si>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</si>
  <si>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</si>
  <si>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</si>
  <si>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</si>
  <si>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</si>
  <si>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</si>
  <si>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</si>
  <si>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</si>
  <si>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</si>
  <si>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</si>
  <si>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</si>
  <si>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</si>
  <si>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</si>
  <si>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</si>
  <si>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</si>
  <si>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</si>
  <si>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</si>
  <si>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</si>
  <si>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</si>
  <si>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</si>
  <si>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</si>
  <si>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</si>
  <si>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</si>
  <si>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</si>
  <si>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</si>
  <si>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</si>
  <si>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</si>
  <si>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</si>
  <si>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</si>
  <si>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</si>
  <si>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</si>
  <si>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</si>
  <si>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</si>
  <si>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</si>
  <si>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</si>
  <si>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</si>
  <si>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</si>
  <si>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</si>
  <si>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</si>
  <si>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</si>
  <si>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</si>
  <si>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</si>
  <si>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</si>
  <si>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</si>
  <si>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</si>
  <si>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</si>
  <si>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</si>
  <si>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</si>
  <si>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</si>
  <si>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</si>
  <si>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</si>
  <si>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</si>
  <si>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</si>
  <si>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</si>
  <si>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</si>
  <si>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</si>
  <si>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</si>
  <si>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</si>
  <si>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</si>
  <si>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</si>
  <si>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</si>
  <si>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</si>
  <si>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</si>
  <si>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</si>
  <si>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</si>
  <si>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</si>
  <si>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</si>
  <si>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</si>
  <si>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</si>
  <si>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</si>
  <si>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</si>
  <si>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</si>
  <si>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</si>
  <si>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</si>
  <si>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</si>
  <si>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</si>
  <si>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</si>
  <si>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</si>
  <si>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</si>
  <si>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</si>
  <si>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</si>
  <si>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</si>
  <si>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</si>
  <si>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</si>
  <si>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</si>
  <si>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</si>
  <si>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</si>
  <si>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</si>
  <si>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</si>
  <si>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</si>
  <si>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</si>
  <si>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</si>
  <si>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</si>
  <si>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</si>
  <si>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</si>
  <si>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</si>
  <si>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</si>
  <si>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</si>
  <si>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</si>
  <si>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</si>
  <si>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</si>
  <si>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</si>
  <si>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</si>
  <si>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</si>
  <si>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</si>
  <si>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</si>
  <si>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</si>
  <si>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</si>
  <si>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</si>
  <si>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</si>
  <si>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</si>
  <si>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</si>
  <si>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</si>
  <si>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</si>
  <si>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</si>
  <si>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</si>
  <si>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</si>
  <si>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</si>
  <si>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</si>
  <si>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</si>
  <si>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</si>
  <si>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</si>
  <si>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</si>
  <si>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</si>
  <si>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</si>
  <si>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</si>
  <si>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</si>
  <si>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</si>
  <si>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</si>
  <si>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</si>
  <si>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</si>
  <si>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</si>
  <si>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</si>
  <si>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</si>
  <si>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</si>
  <si>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</si>
  <si>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</si>
  <si>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</si>
  <si>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</si>
  <si>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</si>
  <si>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</si>
  <si>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</si>
  <si>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</si>
  <si>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</si>
  <si>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</si>
  <si>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</si>
  <si>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</si>
  <si>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</si>
  <si>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</si>
  <si>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</si>
  <si>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</si>
  <si>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</si>
  <si>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</si>
  <si>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</si>
  <si>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</si>
  <si>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</si>
  <si>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</si>
  <si>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</si>
  <si>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</si>
  <si>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</si>
  <si>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</si>
  <si>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</si>
  <si>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</si>
  <si>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</si>
  <si>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</si>
  <si>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</si>
  <si>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</si>
  <si>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</si>
  <si>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</si>
  <si>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</si>
  <si>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</si>
  <si>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</si>
  <si>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</si>
  <si>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</si>
  <si>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</si>
  <si>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</si>
  <si>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</si>
  <si>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</si>
  <si>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</si>
  <si>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</si>
  <si>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</si>
  <si>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</si>
  <si>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</si>
  <si>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</si>
  <si>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</si>
  <si>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</si>
  <si>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</si>
  <si>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</si>
  <si>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</si>
  <si>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</si>
  <si>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</si>
  <si>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</si>
  <si>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</si>
  <si>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</si>
  <si>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</si>
  <si>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</si>
  <si>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</si>
  <si>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</si>
  <si>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</si>
  <si>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</si>
  <si>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</si>
  <si>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</si>
  <si>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</si>
  <si>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</si>
  <si>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</si>
  <si>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</si>
  <si>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</si>
  <si>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</si>
  <si>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</si>
  <si>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</si>
  <si>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</si>
  <si>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</si>
  <si>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</si>
  <si>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</si>
  <si>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</si>
  <si>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</si>
  <si>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</si>
  <si>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</si>
  <si>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</si>
  <si>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</si>
  <si>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</si>
  <si>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</si>
  <si>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</si>
  <si>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</si>
  <si>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</si>
  <si>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</si>
  <si>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</si>
  <si>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</si>
  <si>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</si>
  <si>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</si>
  <si>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</si>
  <si>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</si>
  <si>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</si>
  <si>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</si>
  <si>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</si>
  <si>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</si>
  <si>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</si>
  <si>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</si>
  <si>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</si>
  <si>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</si>
  <si>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</si>
  <si>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</si>
  <si>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</si>
  <si>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</si>
  <si>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</si>
  <si>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</si>
  <si>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</si>
  <si>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</si>
  <si>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</si>
  <si>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</si>
  <si>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</si>
  <si>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</si>
  <si>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</si>
  <si>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</si>
  <si>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</si>
  <si>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</si>
  <si>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</si>
  <si>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</si>
  <si>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</si>
  <si>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</si>
  <si>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</si>
  <si>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</si>
  <si>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</si>
  <si>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</si>
  <si>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</si>
  <si>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</si>
  <si>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</si>
  <si>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</si>
  <si>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</si>
  <si>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</si>
  <si>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</si>
  <si>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</si>
  <si>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</si>
  <si>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</si>
  <si>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</si>
  <si>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</si>
  <si>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</si>
  <si>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</si>
  <si>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</si>
  <si>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</si>
  <si>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</si>
  <si>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</si>
  <si>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Balance Rating</t>
  </si>
  <si>
    <t>Row Labels</t>
  </si>
  <si>
    <t>Grand Total</t>
  </si>
  <si>
    <t>Count of Employee Count</t>
  </si>
  <si>
    <t>Sum of CF_attrition rate</t>
  </si>
  <si>
    <t>Sum of CF_attrition counts</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</si>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</sst>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scheme val="minor"/>
    </font>
    <font>
      <sz val="11"/>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0" fontId="2" fillId="0" borderId="0" xfId="0" applyFont="1" applyAlignment="1">
      <alignment horizontal="center"/>
    </xf>
    <xf numFmtId="0" fontId="0" fillId="0" borderId="0" xfId="0" applyAlignment="1">
      <alignment horizontal="center"/>
    </xf>
    <xf numFmtId="0" fontId="0" fillId="0" borderId="1" xfId="0" applyBorder="1"/>
    <xf numFmtId="0" fontId="3" fillId="0" borderId="2" xfId="0" applyFont="1" applyBorder="1"/>
    <xf numFmtId="0" fontId="0" fillId="0" borderId="4" xfId="0" applyBorder="1"/>
    <xf numFmtId="0" fontId="0" fillId="0" borderId="7" xfId="0" applyBorder="1"/>
    <xf numFmtId="1" fontId="0" fillId="0" borderId="6" xfId="0" applyNumberFormat="1" applyBorder="1"/>
    <xf numFmtId="0" fontId="4" fillId="0" borderId="0" xfId="0" applyFont="1"/>
    <xf numFmtId="9" fontId="0" fillId="0" borderId="0" xfId="1" applyFont="1"/>
    <xf numFmtId="164" fontId="0" fillId="0" borderId="0" xfId="0" applyNumberFormat="1"/>
    <xf numFmtId="1" fontId="0" fillId="0" borderId="0" xfId="0" applyNumberFormat="1"/>
    <xf numFmtId="0" fontId="1" fillId="0" borderId="0" xfId="0" applyFont="1"/>
    <xf numFmtId="164" fontId="0" fillId="0" borderId="3" xfId="0" applyNumberFormat="1" applyBorder="1"/>
    <xf numFmtId="0" fontId="0" fillId="0" borderId="2" xfId="0"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10" fontId="0" fillId="0" borderId="2" xfId="0" applyNumberFormat="1" applyBorder="1"/>
    <xf numFmtId="10" fontId="0" fillId="0" borderId="10" xfId="0" applyNumberFormat="1" applyBorder="1"/>
    <xf numFmtId="10" fontId="0" fillId="0" borderId="3" xfId="0" applyNumberFormat="1" applyBorder="1"/>
    <xf numFmtId="0" fontId="0" fillId="0" borderId="2" xfId="0" applyNumberFormat="1" applyBorder="1"/>
    <xf numFmtId="0" fontId="0" fillId="0" borderId="3" xfId="0" applyNumberFormat="1" applyBorder="1"/>
    <xf numFmtId="0" fontId="0" fillId="0" borderId="10" xfId="0" applyNumberFormat="1" applyBorder="1"/>
    <xf numFmtId="0" fontId="0" fillId="0" borderId="5" xfId="0" applyNumberFormat="1" applyBorder="1"/>
    <xf numFmtId="0" fontId="0" fillId="0" borderId="8" xfId="0" applyNumberFormat="1" applyBorder="1"/>
  </cellXfs>
  <cellStyles count="2">
    <cellStyle name="Normal" xfId="0" builtinId="0"/>
    <cellStyle name="Percent" xfId="1" builtinId="5"/>
  </cellStyles>
  <dxfs count="63">
    <dxf>
      <numFmt numFmtId="164" formatCode="0.0"/>
    </dxf>
    <dxf>
      <font>
        <b/>
        <family val="2"/>
      </font>
    </dxf>
    <dxf>
      <font>
        <b/>
        <family val="2"/>
      </font>
    </dxf>
    <dxf>
      <numFmt numFmtId="1" formatCode="0"/>
    </dxf>
    <dxf>
      <numFmt numFmtId="164" formatCode="0.0"/>
    </dxf>
    <dxf>
      <font>
        <b/>
        <family val="2"/>
      </font>
    </dxf>
    <dxf>
      <font>
        <b/>
        <family val="2"/>
      </font>
    </dxf>
    <dxf>
      <numFmt numFmtId="1"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amily val="2"/>
      </font>
    </dxf>
    <dxf>
      <numFmt numFmtId="164" formatCode="0.0"/>
    </dxf>
    <dxf>
      <numFmt numFmtId="1" formatCode="0"/>
    </dxf>
    <dxf>
      <font>
        <b/>
        <family val="2"/>
      </font>
    </dxf>
    <dxf>
      <fill>
        <patternFill>
          <bgColor theme="5"/>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62"/>
      <tableStyleElement type="firstRowStripe" dxfId="61"/>
      <tableStyleElement type="secondRowStripe" dxfId="60"/>
    </tableStyle>
    <tableStyle name="Slicer Style 1" pivot="0" table="0" count="0" xr9:uid="{BC3F2D6C-DD1E-4728-9B93-D57C6786A8E2}"/>
    <tableStyle name="Slicer Style 2" pivot="0" table="0" count="3" xr9:uid="{A7084C89-F92C-456D-874E-3194E5A6217B}">
      <tableStyleElement type="wholeTable" dxfId="59"/>
    </tableStyle>
  </tableStyles>
  <colors>
    <mruColors>
      <color rgb="FFED33B3"/>
      <color rgb="FFF2C2E0"/>
      <color rgb="FFE2D2DC"/>
      <color rgb="FFDFD5D9"/>
      <color rgb="FFE4D0DC"/>
      <color rgb="FFFCF6F8"/>
      <color rgb="FFFDF5FA"/>
    </mruColors>
  </colors>
  <extLst>
    <ext xmlns:x14="http://schemas.microsoft.com/office/spreadsheetml/2009/9/main" uri="{46F421CA-312F-682f-3DD2-61675219B42D}">
      <x14:dxfs count="2">
        <dxf>
          <fill>
            <patternFill>
              <bgColor theme="7"/>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195088855043837"/>
          <c:y val="0.14785704306611266"/>
          <c:w val="0.5370738791967179"/>
          <c:h val="0.78642871557117056"/>
        </c:manualLayout>
      </c:layout>
      <c:doughnutChart>
        <c:varyColors val="1"/>
        <c:ser>
          <c:idx val="0"/>
          <c:order val="0"/>
          <c:spPr>
            <a:gradFill>
              <a:gsLst>
                <a:gs pos="0">
                  <a:schemeClr val="accent1">
                    <a:lumMod val="75000"/>
                  </a:schemeClr>
                </a:gs>
                <a:gs pos="95000">
                  <a:srgbClr val="00B050"/>
                </a:gs>
              </a:gsLst>
              <a:lin ang="5400000" scaled="1"/>
            </a:gradFill>
            <a:ln>
              <a:noFill/>
            </a:ln>
          </c:spPr>
          <c:dPt>
            <c:idx val="0"/>
            <c:bubble3D val="0"/>
            <c:spPr>
              <a:gradFill>
                <a:gsLst>
                  <a:gs pos="0">
                    <a:schemeClr val="accent1">
                      <a:lumMod val="75000"/>
                    </a:schemeClr>
                  </a:gs>
                  <a:gs pos="95000">
                    <a:srgbClr val="00B050"/>
                  </a:gs>
                </a:gsLst>
                <a:lin ang="5400000" scaled="1"/>
              </a:gradFill>
              <a:ln w="19050">
                <a:noFill/>
              </a:ln>
              <a:effectLst/>
            </c:spPr>
            <c:extLst>
              <c:ext xmlns:c16="http://schemas.microsoft.com/office/drawing/2014/chart" uri="{C3380CC4-5D6E-409C-BE32-E72D297353CC}">
                <c16:uniqueId val="{00000001-325A-4099-B3CB-8BAF52CD2D29}"/>
              </c:ext>
            </c:extLst>
          </c:dPt>
          <c:dPt>
            <c:idx val="1"/>
            <c:bubble3D val="0"/>
            <c:spPr>
              <a:noFill/>
              <a:ln w="19050">
                <a:noFill/>
              </a:ln>
              <a:effectLst/>
            </c:spPr>
            <c:extLst>
              <c:ext xmlns:c16="http://schemas.microsoft.com/office/drawing/2014/chart" uri="{C3380CC4-5D6E-409C-BE32-E72D297353CC}">
                <c16:uniqueId val="{00000003-325A-4099-B3CB-8BAF52CD2D29}"/>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325A-4099-B3CB-8BAF52CD2D29}"/>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289973999151743E-2"/>
          <c:y val="0"/>
          <c:w val="0.89932028988179735"/>
          <c:h val="1"/>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163D-4C81-8452-5B10A4093CFF}"/>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163D-4C81-8452-5B10A4093CFF}"/>
            </c:ext>
          </c:extLst>
        </c:ser>
        <c:dLbls>
          <c:showLegendKey val="0"/>
          <c:showVal val="0"/>
          <c:showCatName val="0"/>
          <c:showSerName val="0"/>
          <c:showPercent val="0"/>
          <c:showBubbleSize val="0"/>
        </c:dLbls>
        <c:gapWidth val="0"/>
        <c:overlap val="100"/>
        <c:axId val="90105408"/>
        <c:axId val="90102528"/>
      </c:barChart>
      <c:catAx>
        <c:axId val="90105408"/>
        <c:scaling>
          <c:orientation val="minMax"/>
        </c:scaling>
        <c:delete val="1"/>
        <c:axPos val="l"/>
        <c:numFmt formatCode="General" sourceLinked="1"/>
        <c:majorTickMark val="none"/>
        <c:minorTickMark val="none"/>
        <c:tickLblPos val="nextTo"/>
        <c:crossAx val="90102528"/>
        <c:crosses val="autoZero"/>
        <c:auto val="1"/>
        <c:lblAlgn val="ctr"/>
        <c:lblOffset val="100"/>
        <c:noMultiLvlLbl val="0"/>
      </c:catAx>
      <c:valAx>
        <c:axId val="90102528"/>
        <c:scaling>
          <c:orientation val="minMax"/>
          <c:max val="4"/>
        </c:scaling>
        <c:delete val="1"/>
        <c:axPos val="b"/>
        <c:numFmt formatCode="0.0" sourceLinked="1"/>
        <c:majorTickMark val="none"/>
        <c:minorTickMark val="none"/>
        <c:tickLblPos val="nextTo"/>
        <c:crossAx val="90105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0369083655071"/>
          <c:y val="0.14828668342727805"/>
          <c:w val="0.4364406779661017"/>
          <c:h val="0.79844961240310075"/>
        </c:manualLayout>
      </c:layout>
      <c:doughnutChart>
        <c:varyColors val="1"/>
        <c:ser>
          <c:idx val="0"/>
          <c:order val="0"/>
          <c:spPr>
            <a:ln>
              <a:noFill/>
            </a:ln>
          </c:spPr>
          <c:dPt>
            <c:idx val="0"/>
            <c:bubble3D val="0"/>
            <c:spPr>
              <a:gradFill>
                <a:gsLst>
                  <a:gs pos="0">
                    <a:srgbClr val="ED33B3"/>
                  </a:gs>
                  <a:gs pos="97000">
                    <a:srgbClr val="F2C2E0">
                      <a:alpha val="92157"/>
                    </a:srgbClr>
                  </a:gs>
                </a:gsLst>
                <a:lin ang="5400000" scaled="1"/>
              </a:gradFill>
              <a:ln w="19050">
                <a:noFill/>
              </a:ln>
              <a:effectLst/>
            </c:spPr>
            <c:extLst>
              <c:ext xmlns:c16="http://schemas.microsoft.com/office/drawing/2014/chart" uri="{C3380CC4-5D6E-409C-BE32-E72D297353CC}">
                <c16:uniqueId val="{00000001-DBC1-4D10-8438-857FA67E861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BC1-4D10-8438-857FA67E861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DBC1-4D10-8438-857FA67E8615}"/>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913978494623656"/>
          <c:y val="0.17212653616471835"/>
          <c:w val="0.510752688172043"/>
          <c:h val="0.85585585585585588"/>
        </c:manualLayout>
      </c:layout>
      <c:doughnutChart>
        <c:varyColors val="1"/>
        <c:ser>
          <c:idx val="0"/>
          <c:order val="0"/>
          <c:dPt>
            <c:idx val="0"/>
            <c:bubble3D val="0"/>
            <c:spPr>
              <a:solidFill>
                <a:srgbClr val="DFD5D9"/>
              </a:solidFill>
              <a:ln w="19050">
                <a:solidFill>
                  <a:srgbClr val="DFD5D9"/>
                </a:solidFill>
              </a:ln>
              <a:effectLst/>
            </c:spPr>
            <c:extLst>
              <c:ext xmlns:c16="http://schemas.microsoft.com/office/drawing/2014/chart" uri="{C3380CC4-5D6E-409C-BE32-E72D297353CC}">
                <c16:uniqueId val="{00000001-A2FE-4439-8FB5-DD8758985FA8}"/>
              </c:ext>
            </c:extLst>
          </c:dPt>
          <c:dPt>
            <c:idx val="1"/>
            <c:bubble3D val="0"/>
            <c:spPr>
              <a:gradFill>
                <a:gsLst>
                  <a:gs pos="0">
                    <a:srgbClr val="0070C0"/>
                  </a:gs>
                  <a:gs pos="97000">
                    <a:schemeClr val="accent5">
                      <a:lumMod val="50000"/>
                    </a:schemeClr>
                  </a:gs>
                </a:gsLst>
                <a:lin ang="5400000" scaled="1"/>
              </a:gradFill>
              <a:ln w="19050">
                <a:solidFill>
                  <a:schemeClr val="lt1"/>
                </a:solidFill>
              </a:ln>
              <a:effectLst/>
            </c:spPr>
            <c:extLst>
              <c:ext xmlns:c16="http://schemas.microsoft.com/office/drawing/2014/chart" uri="{C3380CC4-5D6E-409C-BE32-E72D297353CC}">
                <c16:uniqueId val="{00000003-A2FE-4439-8FB5-DD8758985FA8}"/>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A2FE-4439-8FB5-DD8758985FA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[HR_DATA.xlsx]Education byAattrition!education_by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75000"/>
                </a:schemeClr>
              </a:gs>
              <a:gs pos="100000">
                <a:schemeClr val="accent6">
                  <a:lumMod val="75000"/>
                </a:scheme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75000"/>
                </a:schemeClr>
              </a:gs>
              <a:gs pos="100000">
                <a:schemeClr val="accent6">
                  <a:lumMod val="75000"/>
                </a:scheme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18764806609992252"/>
          <c:y val="0"/>
          <c:w val="0.81235193390007754"/>
          <c:h val="0.95412192635549753"/>
        </c:manualLayout>
      </c:layout>
      <c:barChart>
        <c:barDir val="bar"/>
        <c:grouping val="clustered"/>
        <c:varyColors val="0"/>
        <c:ser>
          <c:idx val="0"/>
          <c:order val="0"/>
          <c:tx>
            <c:strRef>
              <c:f>'Education byAattrition'!$B$3</c:f>
              <c:strCache>
                <c:ptCount val="1"/>
                <c:pt idx="0">
                  <c:v>Total</c:v>
                </c:pt>
              </c:strCache>
            </c:strRef>
          </c:tx>
          <c:spPr>
            <a:gradFill flip="none" rotWithShape="1">
              <a:gsLst>
                <a:gs pos="0">
                  <a:schemeClr val="accent4">
                    <a:lumMod val="75000"/>
                  </a:schemeClr>
                </a:gs>
                <a:gs pos="100000">
                  <a:schemeClr val="accent6">
                    <a:lumMod val="75000"/>
                  </a:scheme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byAattrition'!$A$4:$A$9</c:f>
              <c:strCache>
                <c:ptCount val="5"/>
                <c:pt idx="0">
                  <c:v>Doctoral Degree</c:v>
                </c:pt>
                <c:pt idx="1">
                  <c:v>High School</c:v>
                </c:pt>
                <c:pt idx="2">
                  <c:v>Associates Degree</c:v>
                </c:pt>
                <c:pt idx="3">
                  <c:v>Master's Degree</c:v>
                </c:pt>
                <c:pt idx="4">
                  <c:v>Bachelor's Degree</c:v>
                </c:pt>
              </c:strCache>
            </c:strRef>
          </c:cat>
          <c:val>
            <c:numRef>
              <c:f>'Education byAattrition'!$B$4:$B$9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AA9-4D71-9C08-0D783AD5A677}"/>
            </c:ext>
          </c:extLst>
        </c:ser>
        <c:dLbls>
          <c:showLegendKey val="0"/>
          <c:showVal val="0"/>
          <c:showCatName val="0"/>
          <c:showSerName val="0"/>
          <c:showPercent val="0"/>
          <c:showBubbleSize val="0"/>
        </c:dLbls>
        <c:gapWidth val="58"/>
        <c:axId val="1019947360"/>
        <c:axId val="1019949760"/>
      </c:barChart>
      <c:catAx>
        <c:axId val="1019947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19949760"/>
        <c:crosses val="autoZero"/>
        <c:auto val="1"/>
        <c:lblAlgn val="ctr"/>
        <c:lblOffset val="100"/>
        <c:noMultiLvlLbl val="0"/>
      </c:catAx>
      <c:valAx>
        <c:axId val="1019949760"/>
        <c:scaling>
          <c:orientation val="minMax"/>
        </c:scaling>
        <c:delete val="1"/>
        <c:axPos val="b"/>
        <c:numFmt formatCode="General" sourceLinked="1"/>
        <c:majorTickMark val="none"/>
        <c:minorTickMark val="none"/>
        <c:tickLblPos val="nextTo"/>
        <c:crossAx val="101994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[HR_DATA.xlsx]Dept_by_attrition!Dept_attrition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w="19050">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a:effectLst/>
        </c:spPr>
      </c:pivotFmt>
      <c:pivotFmt>
        <c:idx val="7"/>
        <c:spPr>
          <a:gradFill>
            <a:gsLst>
              <a:gs pos="0">
                <a:srgbClr val="0070C0"/>
              </a:gs>
              <a:gs pos="100000">
                <a:schemeClr val="accent5">
                  <a:lumMod val="40000"/>
                  <a:lumOff val="60000"/>
                </a:schemeClr>
              </a:gs>
            </a:gsLst>
            <a:lin ang="5400000" scaled="1"/>
          </a:gradFill>
          <a:ln w="19050">
            <a:noFill/>
          </a:ln>
          <a:effectLst/>
        </c:spPr>
      </c:pivotFmt>
      <c:pivotFmt>
        <c:idx val="8"/>
        <c:spPr>
          <a:gradFill>
            <a:gsLst>
              <a:gs pos="0">
                <a:srgbClr val="00B050"/>
              </a:gs>
              <a:gs pos="100000">
                <a:schemeClr val="accent6">
                  <a:lumMod val="50000"/>
                </a:schemeClr>
              </a:gs>
            </a:gsLst>
            <a:lin ang="5400000" scaled="1"/>
          </a:gradFill>
          <a:ln w="19050">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a:effectLst/>
        </c:spPr>
      </c:pivotFmt>
    </c:pivotFmts>
    <c:plotArea>
      <c:layout/>
      <c:pieChart>
        <c:varyColors val="1"/>
        <c:ser>
          <c:idx val="0"/>
          <c:order val="0"/>
          <c:tx>
            <c:strRef>
              <c:f>Dept_by_attrition!$B$3</c:f>
              <c:strCache>
                <c:ptCount val="1"/>
                <c:pt idx="0">
                  <c:v>Total</c:v>
                </c:pt>
              </c:strCache>
            </c:strRef>
          </c:tx>
          <c:spPr>
            <a:ln>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c:spPr>
          <c:dPt>
            <c:idx val="0"/>
            <c:bubble3D val="0"/>
            <c:spPr>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w="19050">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a:effectLst/>
            </c:spPr>
            <c:extLst>
              <c:ext xmlns:c16="http://schemas.microsoft.com/office/drawing/2014/chart" uri="{C3380CC4-5D6E-409C-BE32-E72D297353CC}">
                <c16:uniqueId val="{00000001-31F1-4136-9D97-A1D15C6CEFB4}"/>
              </c:ext>
            </c:extLst>
          </c:dPt>
          <c:dPt>
            <c:idx val="1"/>
            <c:bubble3D val="0"/>
            <c:spPr>
              <a:gradFill>
                <a:gsLst>
                  <a:gs pos="0">
                    <a:srgbClr val="0070C0"/>
                  </a:gs>
                  <a:gs pos="100000">
                    <a:schemeClr val="accent5">
                      <a:lumMod val="40000"/>
                      <a:lumOff val="60000"/>
                    </a:schemeClr>
                  </a:gs>
                </a:gsLst>
                <a:lin ang="5400000" scaled="1"/>
              </a:gradFill>
              <a:ln w="19050">
                <a:noFill/>
              </a:ln>
              <a:effectLst/>
            </c:spPr>
            <c:extLst>
              <c:ext xmlns:c16="http://schemas.microsoft.com/office/drawing/2014/chart" uri="{C3380CC4-5D6E-409C-BE32-E72D297353CC}">
                <c16:uniqueId val="{00000003-31F1-4136-9D97-A1D15C6CEFB4}"/>
              </c:ext>
            </c:extLst>
          </c:dPt>
          <c:dPt>
            <c:idx val="2"/>
            <c:bubble3D val="0"/>
            <c:spPr>
              <a:gradFill>
                <a:gsLst>
                  <a:gs pos="0">
                    <a:srgbClr val="00B050"/>
                  </a:gs>
                  <a:gs pos="100000">
                    <a:schemeClr val="accent6">
                      <a:lumMod val="50000"/>
                    </a:schemeClr>
                  </a:gs>
                </a:gsLst>
                <a:lin ang="5400000" scaled="1"/>
              </a:gradFill>
              <a:ln w="19050">
                <a:gradFill>
                  <a:gsLst>
                    <a:gs pos="0">
                      <a:srgbClr val="FFC000"/>
                    </a:gs>
                    <a:gs pos="74000">
                      <a:schemeClr val="accent1">
                        <a:lumMod val="45000"/>
                        <a:lumOff val="55000"/>
                      </a:schemeClr>
                    </a:gs>
                    <a:gs pos="83000">
                      <a:schemeClr val="accent1">
                        <a:lumMod val="45000"/>
                        <a:lumOff val="55000"/>
                      </a:schemeClr>
                    </a:gs>
                    <a:gs pos="100000">
                      <a:schemeClr val="accent2">
                        <a:lumMod val="75000"/>
                      </a:schemeClr>
                    </a:gs>
                  </a:gsLst>
                  <a:lin ang="5400000" scaled="1"/>
                </a:gradFill>
              </a:ln>
              <a:effectLst/>
            </c:spPr>
            <c:extLst>
              <c:ext xmlns:c16="http://schemas.microsoft.com/office/drawing/2014/chart" uri="{C3380CC4-5D6E-409C-BE32-E72D297353CC}">
                <c16:uniqueId val="{00000005-31F1-4136-9D97-A1D15C6CEFB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Dept_by_attrition!$A$4:$A$7</c:f>
              <c:strCache>
                <c:ptCount val="3"/>
                <c:pt idx="0">
                  <c:v>HR</c:v>
                </c:pt>
                <c:pt idx="1">
                  <c:v>R&amp;D</c:v>
                </c:pt>
                <c:pt idx="2">
                  <c:v>Sales</c:v>
                </c:pt>
              </c:strCache>
            </c:strRef>
          </c:cat>
          <c:val>
            <c:numRef>
              <c:f>Dept_by_attrition!$B$4:$B$7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1F1-4136-9D97-A1D15C6CEFB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[HR_DATA.xlsx]ATTRITION by Age Group!Attrition_by_agegroup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100000">
                <a:srgbClr val="7030A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B050"/>
              </a:gs>
              <a:gs pos="100000">
                <a:srgbClr val="7030A0"/>
              </a:gs>
            </a:gsLst>
            <a:lin ang="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331270466484064"/>
                  <c:h val="9.0626707881510879E-2"/>
                </c:manualLayout>
              </c15:layout>
            </c:ext>
          </c:extLst>
        </c:dLbl>
      </c:pivotFmt>
    </c:pivotFmts>
    <c:plotArea>
      <c:layout>
        <c:manualLayout>
          <c:layoutTarget val="inner"/>
          <c:xMode val="edge"/>
          <c:yMode val="edge"/>
          <c:x val="6.1111111111111109E-2"/>
          <c:y val="0.10185185185185185"/>
          <c:w val="0.93888888888888888"/>
          <c:h val="0.89814814814814814"/>
        </c:manualLayout>
      </c:layout>
      <c:barChart>
        <c:barDir val="col"/>
        <c:grouping val="clustered"/>
        <c:varyColors val="0"/>
        <c:ser>
          <c:idx val="0"/>
          <c:order val="0"/>
          <c:tx>
            <c:strRef>
              <c:f>'ATTRITION by Age Group'!$B$3</c:f>
              <c:strCache>
                <c:ptCount val="1"/>
                <c:pt idx="0">
                  <c:v>Total</c:v>
                </c:pt>
              </c:strCache>
            </c:strRef>
          </c:tx>
          <c:spPr>
            <a:gradFill>
              <a:gsLst>
                <a:gs pos="0">
                  <a:srgbClr val="00B050"/>
                </a:gs>
                <a:gs pos="100000">
                  <a:srgbClr val="7030A0"/>
                </a:gs>
              </a:gsLst>
              <a:lin ang="0" scaled="0"/>
            </a:gradFill>
            <a:ln>
              <a:noFill/>
            </a:ln>
            <a:effectLst/>
          </c:spPr>
          <c:invertIfNegative val="0"/>
          <c:dPt>
            <c:idx val="0"/>
            <c:invertIfNegative val="0"/>
            <c:bubble3D val="0"/>
            <c:spPr>
              <a:gradFill>
                <a:gsLst>
                  <a:gs pos="0">
                    <a:srgbClr val="00B050"/>
                  </a:gs>
                  <a:gs pos="100000">
                    <a:srgbClr val="7030A0"/>
                  </a:gs>
                </a:gsLst>
                <a:lin ang="0" scaled="0"/>
              </a:gradFill>
              <a:ln>
                <a:noFill/>
              </a:ln>
              <a:effectLst/>
            </c:spPr>
            <c:extLst>
              <c:ext xmlns:c16="http://schemas.microsoft.com/office/drawing/2014/chart" uri="{C3380CC4-5D6E-409C-BE32-E72D297353CC}">
                <c16:uniqueId val="{00000001-646D-427C-AECD-1989E60909F5}"/>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331270466484064"/>
                      <c:h val="9.0626707881510879E-2"/>
                    </c:manualLayout>
                  </c15:layout>
                </c:ext>
                <c:ext xmlns:c16="http://schemas.microsoft.com/office/drawing/2014/chart" uri="{C3380CC4-5D6E-409C-BE32-E72D297353CC}">
                  <c16:uniqueId val="{00000001-646D-427C-AECD-1989E60909F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46D-427C-AECD-1989E60909F5}"/>
            </c:ext>
          </c:extLst>
        </c:ser>
        <c:dLbls>
          <c:dLblPos val="outEnd"/>
          <c:showLegendKey val="0"/>
          <c:showVal val="1"/>
          <c:showCatName val="0"/>
          <c:showSerName val="0"/>
          <c:showPercent val="0"/>
          <c:showBubbleSize val="0"/>
        </c:dLbls>
        <c:gapWidth val="73"/>
        <c:overlap val="-27"/>
        <c:axId val="1167855888"/>
        <c:axId val="1167856368"/>
      </c:barChart>
      <c:catAx>
        <c:axId val="1167855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67856368"/>
        <c:crosses val="autoZero"/>
        <c:auto val="1"/>
        <c:lblAlgn val="ctr"/>
        <c:lblOffset val="100"/>
        <c:noMultiLvlLbl val="0"/>
      </c:catAx>
      <c:valAx>
        <c:axId val="1167856368"/>
        <c:scaling>
          <c:orientation val="minMax"/>
        </c:scaling>
        <c:delete val="1"/>
        <c:axPos val="l"/>
        <c:numFmt formatCode="General" sourceLinked="1"/>
        <c:majorTickMark val="none"/>
        <c:minorTickMark val="none"/>
        <c:tickLblPos val="nextTo"/>
        <c:crossAx val="116785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plotArea>
      <cx:plotAreaRegion>
        <cx:series layoutId="treemap" uniqueId="{88546CBC-7C2E-4F2F-9C0A-B8D2A1DDE499}">
          <cx:tx>
            <cx:txData>
              <cx:f>_xlchart.v1.3</cx:f>
              <cx:v>Attrition</cx:v>
            </cx:txData>
          </cx:tx>
          <cx:dataPt idx="2">
            <cx:spPr>
              <a:solidFill>
                <a:srgbClr val="92D050"/>
              </a:solidFill>
              <a:ln>
                <a:solidFill>
                  <a:srgbClr val="92D050"/>
                </a:solidFill>
              </a:ln>
            </cx:spPr>
          </cx:dataPt>
          <cx:dataLabels pos="inEnd">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a:ea typeface="Calibri"/>
                  <a:cs typeface="Calibri"/>
                </a:endParaRPr>
              </a:p>
            </cx:txPr>
            <cx:visibility seriesName="0" categoryName="1" value="0"/>
            <cx:dataLabel idx="0">
              <cx:visibility seriesName="0" categoryName="0" value="0"/>
              <cx:separator>, </cx:separator>
            </cx:dataLabel>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CFFA757E-576D-4641-8908-483B240AF359}">
          <cx:spPr>
            <a:gradFill>
              <a:gsLst>
                <a:gs pos="0">
                  <a:schemeClr val="accent6">
                    <a:lumMod val="50000"/>
                  </a:schemeClr>
                </a:gs>
                <a:gs pos="100000">
                  <a:schemeClr val="accent5">
                    <a:lumMod val="75000"/>
                  </a:schemeClr>
                </a:gs>
              </a:gsLst>
              <a:lin ang="0" scaled="0"/>
            </a:gradFill>
          </cx:spPr>
          <cx:data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342900</xdr:colOff>
      <xdr:row>3</xdr:row>
      <xdr:rowOff>1</xdr:rowOff>
    </xdr:from>
    <xdr:to>
      <xdr:col>6</xdr:col>
      <xdr:colOff>190500</xdr:colOff>
      <xdr:row>8</xdr:row>
      <xdr:rowOff>50801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86348F4F-CD87-501E-B025-8085A9B076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48050" y="590551"/>
              <a:ext cx="1828800" cy="103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984250</xdr:colOff>
      <xdr:row>8</xdr:row>
      <xdr:rowOff>139700</xdr:rowOff>
    </xdr:from>
    <xdr:to>
      <xdr:col>2</xdr:col>
      <xdr:colOff>368300</xdr:colOff>
      <xdr:row>22</xdr:row>
      <xdr:rowOff>98419</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20CBC4EF-CC6E-A54D-B2C0-34CB4260754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84250" y="17145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146050</xdr:colOff>
      <xdr:row>1</xdr:row>
      <xdr:rowOff>184151</xdr:rowOff>
    </xdr:from>
    <xdr:to>
      <xdr:col>8</xdr:col>
      <xdr:colOff>654050</xdr:colOff>
      <xdr:row>12</xdr:row>
      <xdr:rowOff>190501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BD49E81-2E29-70BF-C271-C418A9B5993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384800" y="381001"/>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431800</xdr:colOff>
      <xdr:row>1</xdr:row>
      <xdr:rowOff>158750</xdr:rowOff>
    </xdr:from>
    <xdr:to>
      <xdr:col>6</xdr:col>
      <xdr:colOff>0</xdr:colOff>
      <xdr:row>15</xdr:row>
      <xdr:rowOff>117469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B9B6CB1-C47A-425D-F7AA-2B91FF26718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75000" y="3556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69850</xdr:colOff>
      <xdr:row>2</xdr:row>
      <xdr:rowOff>76200</xdr:rowOff>
    </xdr:from>
    <xdr:to>
      <xdr:col>9</xdr:col>
      <xdr:colOff>577850</xdr:colOff>
      <xdr:row>16</xdr:row>
      <xdr:rowOff>34919</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B29D7452-6EFD-0BA2-C69F-B0CBBCC7DC9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5734050" y="4699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twoCellAnchor editAs="absolute">
    <xdr:from>
      <xdr:col>1</xdr:col>
      <xdr:colOff>498244</xdr:colOff>
      <xdr:row>1</xdr:row>
      <xdr:rowOff>110434</xdr:rowOff>
    </xdr:from>
    <xdr:to>
      <xdr:col>24</xdr:col>
      <xdr:colOff>140042</xdr:colOff>
      <xdr:row>41</xdr:row>
      <xdr:rowOff>92477</xdr:rowOff>
    </xdr:to>
    <xdr:grpSp>
      <xdr:nvGrpSpPr>
        <xdr:cNvPr id="2" name="Shape 2">
          <a:extLst>
            <a:ext uri="{FF2B5EF4-FFF2-40B4-BE49-F238E27FC236}">
              <a16:creationId xmlns:a16="http://schemas.microsoft.com/office/drawing/2014/main" id="{00000000-0008-0000-0200-000002000000}"/>
            </a:ext>
          </a:extLst>
        </xdr:cNvPr>
        <xdr:cNvGrpSpPr/>
      </xdr:nvGrpSpPr>
      <xdr:grpSpPr>
        <a:xfrm>
          <a:off x="1154064" y="297811"/>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endParaRPr sz="1400">
                <a:solidFill>
                  <a:srgbClr val="C00000"/>
                </a:solidFill>
              </a:endParaRPr>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chemeClr val="tx1">
                <a:lumMod val="65000"/>
                <a:lumOff val="35000"/>
              </a:schemeClr>
            </a:solidFill>
            <a:ln w="12700" cap="flat" cmpd="sng">
              <a:solidFill>
                <a:schemeClr val="tx2">
                  <a:lumMod val="95000"/>
                  <a:lumOff val="5000"/>
                </a:schemeClr>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rgbClr val="C00000"/>
                  </a:solidFill>
                  <a:latin typeface="Calibri"/>
                  <a:ea typeface="Calibri"/>
                  <a:cs typeface="Calibri"/>
                  <a:sym typeface="Calibri"/>
                </a:rPr>
                <a:t>`</a:t>
              </a:r>
              <a:endParaRPr sz="1400">
                <a:solidFill>
                  <a:srgbClr val="C00000"/>
                </a:solidFill>
              </a:endParaRPr>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3800">
                <a:solidFill>
                  <a:srgbClr val="C0000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79783" y="1215714"/>
              <a:ext cx="13255442" cy="998848"/>
              <a:chOff x="1880073" y="1215714"/>
              <a:chExt cx="13369452"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80073"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38642"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81691"/>
              <a:ext cx="2700000" cy="2700000"/>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100">
                <a:solidFill>
                  <a:srgbClr val="C00000"/>
                </a:solidFill>
              </a:endParaRPr>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xdr:twoCellAnchor>
  <xdr:twoCellAnchor editAs="absolute">
    <xdr:from>
      <xdr:col>2</xdr:col>
      <xdr:colOff>220869</xdr:colOff>
      <xdr:row>7</xdr:row>
      <xdr:rowOff>27609</xdr:rowOff>
    </xdr:from>
    <xdr:to>
      <xdr:col>5</xdr:col>
      <xdr:colOff>598188</xdr:colOff>
      <xdr:row>9</xdr:row>
      <xdr:rowOff>9203</xdr:rowOff>
    </xdr:to>
    <xdr:sp macro="" textlink="">
      <xdr:nvSpPr>
        <xdr:cNvPr id="29" name="TextBox 28">
          <a:extLst>
            <a:ext uri="{FF2B5EF4-FFF2-40B4-BE49-F238E27FC236}">
              <a16:creationId xmlns:a16="http://schemas.microsoft.com/office/drawing/2014/main" id="{0B7428D7-485C-09C7-DBFB-5D78C3038E02}"/>
            </a:ext>
          </a:extLst>
        </xdr:cNvPr>
        <xdr:cNvSpPr txBox="1"/>
      </xdr:nvSpPr>
      <xdr:spPr>
        <a:xfrm>
          <a:off x="1527681" y="1380435"/>
          <a:ext cx="2337536" cy="368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latin typeface="Aptos Display" panose="020B0004020202020204" pitchFamily="34" charset="0"/>
            </a:rPr>
            <a:t>Total </a:t>
          </a:r>
          <a:r>
            <a:rPr lang="en-IN" sz="2000" b="1">
              <a:solidFill>
                <a:srgbClr val="C00000"/>
              </a:solidFill>
              <a:latin typeface="Aptos Display" panose="020B0004020202020204" pitchFamily="34" charset="0"/>
            </a:rPr>
            <a:t>Employees</a:t>
          </a:r>
        </a:p>
      </xdr:txBody>
    </xdr:sp>
    <xdr:clientData/>
  </xdr:twoCellAnchor>
  <xdr:twoCellAnchor editAs="absolute">
    <xdr:from>
      <xdr:col>2</xdr:col>
      <xdr:colOff>312898</xdr:colOff>
      <xdr:row>9</xdr:row>
      <xdr:rowOff>31795</xdr:rowOff>
    </xdr:from>
    <xdr:to>
      <xdr:col>5</xdr:col>
      <xdr:colOff>230072</xdr:colOff>
      <xdr:row>11</xdr:row>
      <xdr:rowOff>68606</xdr:rowOff>
    </xdr:to>
    <xdr:sp macro="" textlink="KPI!A7">
      <xdr:nvSpPr>
        <xdr:cNvPr id="30" name="TextBox 29">
          <a:extLst>
            <a:ext uri="{FF2B5EF4-FFF2-40B4-BE49-F238E27FC236}">
              <a16:creationId xmlns:a16="http://schemas.microsoft.com/office/drawing/2014/main" id="{86CBA959-0F62-3862-71FB-BC3183E692D0}"/>
            </a:ext>
          </a:extLst>
        </xdr:cNvPr>
        <xdr:cNvSpPr txBox="1"/>
      </xdr:nvSpPr>
      <xdr:spPr>
        <a:xfrm>
          <a:off x="1619710" y="1771143"/>
          <a:ext cx="187739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5D2458-BE8E-41AA-AC09-817E1C171250}" type="TxLink">
            <a:rPr lang="en-US" sz="2800" b="1" i="0" u="none" strike="noStrike">
              <a:solidFill>
                <a:srgbClr val="002060"/>
              </a:solidFill>
              <a:latin typeface="Calibri"/>
              <a:ea typeface="Calibri"/>
              <a:cs typeface="Calibri"/>
            </a:rPr>
            <a:pPr algn="ctr"/>
            <a:t>1470</a:t>
          </a:fld>
          <a:endParaRPr lang="en-IN" sz="2800" b="1">
            <a:solidFill>
              <a:srgbClr val="002060"/>
            </a:solidFill>
          </a:endParaRPr>
        </a:p>
      </xdr:txBody>
    </xdr:sp>
    <xdr:clientData/>
  </xdr:twoCellAnchor>
  <xdr:twoCellAnchor editAs="absolute">
    <xdr:from>
      <xdr:col>6</xdr:col>
      <xdr:colOff>397013</xdr:colOff>
      <xdr:row>7</xdr:row>
      <xdr:rowOff>64419</xdr:rowOff>
    </xdr:from>
    <xdr:to>
      <xdr:col>9</xdr:col>
      <xdr:colOff>414131</xdr:colOff>
      <xdr:row>9</xdr:row>
      <xdr:rowOff>36811</xdr:rowOff>
    </xdr:to>
    <xdr:sp macro="" textlink="">
      <xdr:nvSpPr>
        <xdr:cNvPr id="31" name="TextBox 30">
          <a:extLst>
            <a:ext uri="{FF2B5EF4-FFF2-40B4-BE49-F238E27FC236}">
              <a16:creationId xmlns:a16="http://schemas.microsoft.com/office/drawing/2014/main" id="{9E23C21A-0531-432E-8327-2C6DCCEED4B0}"/>
            </a:ext>
          </a:extLst>
        </xdr:cNvPr>
        <xdr:cNvSpPr txBox="1"/>
      </xdr:nvSpPr>
      <xdr:spPr>
        <a:xfrm>
          <a:off x="4317448" y="1417245"/>
          <a:ext cx="1977335" cy="358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latin typeface="Aptos Display" panose="020B0004020202020204" pitchFamily="34" charset="0"/>
            </a:rPr>
            <a:t>Attrition</a:t>
          </a:r>
          <a:endParaRPr lang="en-IN" sz="2000" b="1">
            <a:solidFill>
              <a:srgbClr val="C00000"/>
            </a:solidFill>
            <a:latin typeface="Aptos Display" panose="020B0004020202020204" pitchFamily="34" charset="0"/>
          </a:endParaRPr>
        </a:p>
      </xdr:txBody>
    </xdr:sp>
    <xdr:clientData/>
  </xdr:twoCellAnchor>
  <xdr:twoCellAnchor editAs="absolute">
    <xdr:from>
      <xdr:col>6</xdr:col>
      <xdr:colOff>588986</xdr:colOff>
      <xdr:row>9</xdr:row>
      <xdr:rowOff>31795</xdr:rowOff>
    </xdr:from>
    <xdr:to>
      <xdr:col>9</xdr:col>
      <xdr:colOff>616595</xdr:colOff>
      <xdr:row>11</xdr:row>
      <xdr:rowOff>68606</xdr:rowOff>
    </xdr:to>
    <xdr:sp macro="" textlink="KPI!B7">
      <xdr:nvSpPr>
        <xdr:cNvPr id="32" name="TextBox 31">
          <a:extLst>
            <a:ext uri="{FF2B5EF4-FFF2-40B4-BE49-F238E27FC236}">
              <a16:creationId xmlns:a16="http://schemas.microsoft.com/office/drawing/2014/main" id="{D1FA49FC-D114-4B64-8E42-8B2A991787B1}"/>
            </a:ext>
          </a:extLst>
        </xdr:cNvPr>
        <xdr:cNvSpPr txBox="1"/>
      </xdr:nvSpPr>
      <xdr:spPr>
        <a:xfrm>
          <a:off x="4509421" y="1771143"/>
          <a:ext cx="1987826"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914880-B655-4C55-A7B3-FAF16FC3CDBA}" type="TxLink">
            <a:rPr lang="en-US" sz="2400" b="1" i="0" u="none" strike="noStrike">
              <a:solidFill>
                <a:srgbClr val="002060"/>
              </a:solidFill>
              <a:latin typeface="Aptos Narrow" panose="020B0004020202020204" pitchFamily="34" charset="0"/>
              <a:ea typeface="Calibri"/>
              <a:cs typeface="Calibri"/>
            </a:rPr>
            <a:pPr algn="ctr"/>
            <a:t>237</a:t>
          </a:fld>
          <a:endParaRPr lang="en-IN" sz="4800" b="1">
            <a:solidFill>
              <a:srgbClr val="002060"/>
            </a:solidFill>
            <a:latin typeface="Aptos Narrow" panose="020B0004020202020204" pitchFamily="34" charset="0"/>
          </a:endParaRPr>
        </a:p>
      </xdr:txBody>
    </xdr:sp>
    <xdr:clientData/>
  </xdr:twoCellAnchor>
  <xdr:twoCellAnchor editAs="absolute">
    <xdr:from>
      <xdr:col>1</xdr:col>
      <xdr:colOff>571868</xdr:colOff>
      <xdr:row>2</xdr:row>
      <xdr:rowOff>174855</xdr:rowOff>
    </xdr:from>
    <xdr:to>
      <xdr:col>5</xdr:col>
      <xdr:colOff>295781</xdr:colOff>
      <xdr:row>3</xdr:row>
      <xdr:rowOff>133028</xdr:rowOff>
    </xdr:to>
    <xdr:sp macro="" textlink="">
      <xdr:nvSpPr>
        <xdr:cNvPr id="33" name="TextBox 32">
          <a:extLst>
            <a:ext uri="{FF2B5EF4-FFF2-40B4-BE49-F238E27FC236}">
              <a16:creationId xmlns:a16="http://schemas.microsoft.com/office/drawing/2014/main" id="{5A62DB9B-8909-4F9D-BA3A-79F120B5E554}"/>
            </a:ext>
          </a:extLst>
        </xdr:cNvPr>
        <xdr:cNvSpPr txBox="1"/>
      </xdr:nvSpPr>
      <xdr:spPr>
        <a:xfrm>
          <a:off x="1225274" y="561377"/>
          <a:ext cx="2337536" cy="151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solidFill>
              <a:srgbClr val="C00000"/>
            </a:solidFill>
            <a:latin typeface="Aptos Display" panose="020B0004020202020204" pitchFamily="34" charset="0"/>
          </a:endParaRPr>
        </a:p>
      </xdr:txBody>
    </xdr:sp>
    <xdr:clientData/>
  </xdr:twoCellAnchor>
  <xdr:twoCellAnchor editAs="absolute">
    <xdr:from>
      <xdr:col>15</xdr:col>
      <xdr:colOff>571868</xdr:colOff>
      <xdr:row>9</xdr:row>
      <xdr:rowOff>31795</xdr:rowOff>
    </xdr:from>
    <xdr:to>
      <xdr:col>18</xdr:col>
      <xdr:colOff>489042</xdr:colOff>
      <xdr:row>11</xdr:row>
      <xdr:rowOff>68606</xdr:rowOff>
    </xdr:to>
    <xdr:sp macro="" textlink="KPI!D7">
      <xdr:nvSpPr>
        <xdr:cNvPr id="34" name="TextBox 33">
          <a:extLst>
            <a:ext uri="{FF2B5EF4-FFF2-40B4-BE49-F238E27FC236}">
              <a16:creationId xmlns:a16="http://schemas.microsoft.com/office/drawing/2014/main" id="{2AD7C634-BD5C-4B4D-B22B-6E4D84052308}"/>
            </a:ext>
          </a:extLst>
        </xdr:cNvPr>
        <xdr:cNvSpPr txBox="1"/>
      </xdr:nvSpPr>
      <xdr:spPr>
        <a:xfrm>
          <a:off x="10372955" y="1771143"/>
          <a:ext cx="187739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F47CDE8-2FE7-4F3F-B105-EFCBF34D73F1}" type="TxLink">
            <a:rPr lang="en-US" sz="2800" b="1" i="0" u="none" strike="noStrike">
              <a:solidFill>
                <a:srgbClr val="002060"/>
              </a:solidFill>
              <a:latin typeface="Calibri"/>
              <a:ea typeface="Calibri"/>
              <a:cs typeface="Calibri"/>
            </a:rPr>
            <a:pPr marL="0" indent="0" algn="ctr"/>
            <a:t>1233</a:t>
          </a:fld>
          <a:endParaRPr lang="en-IN" sz="2800" b="1" i="0" u="none" strike="noStrike">
            <a:solidFill>
              <a:srgbClr val="002060"/>
            </a:solidFill>
            <a:latin typeface="Calibri"/>
            <a:ea typeface="Calibri"/>
            <a:cs typeface="Calibri"/>
          </a:endParaRPr>
        </a:p>
      </xdr:txBody>
    </xdr:sp>
    <xdr:clientData/>
  </xdr:twoCellAnchor>
  <xdr:twoCellAnchor editAs="absolute">
    <xdr:from>
      <xdr:col>11</xdr:col>
      <xdr:colOff>208906</xdr:colOff>
      <xdr:row>7</xdr:row>
      <xdr:rowOff>27608</xdr:rowOff>
    </xdr:from>
    <xdr:to>
      <xdr:col>14</xdr:col>
      <xdr:colOff>586225</xdr:colOff>
      <xdr:row>9</xdr:row>
      <xdr:rowOff>73623</xdr:rowOff>
    </xdr:to>
    <xdr:sp macro="" textlink="">
      <xdr:nvSpPr>
        <xdr:cNvPr id="35" name="TextBox 34">
          <a:extLst>
            <a:ext uri="{FF2B5EF4-FFF2-40B4-BE49-F238E27FC236}">
              <a16:creationId xmlns:a16="http://schemas.microsoft.com/office/drawing/2014/main" id="{2423F9E7-E4C3-4B74-8659-E43A4746D953}"/>
            </a:ext>
          </a:extLst>
        </xdr:cNvPr>
        <xdr:cNvSpPr txBox="1"/>
      </xdr:nvSpPr>
      <xdr:spPr>
        <a:xfrm>
          <a:off x="7396370" y="1380434"/>
          <a:ext cx="2337536" cy="432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latin typeface="Aptos Display" panose="020B0004020202020204" pitchFamily="34" charset="0"/>
            </a:rPr>
            <a:t>Average</a:t>
          </a:r>
          <a:r>
            <a:rPr lang="en-IN" sz="1800" b="1" baseline="0">
              <a:solidFill>
                <a:srgbClr val="C00000"/>
              </a:solidFill>
              <a:latin typeface="Aptos Display" panose="020B0004020202020204" pitchFamily="34" charset="0"/>
            </a:rPr>
            <a:t> Age</a:t>
          </a:r>
          <a:endParaRPr lang="en-IN" sz="2000" b="1">
            <a:solidFill>
              <a:srgbClr val="C00000"/>
            </a:solidFill>
            <a:latin typeface="Aptos Display" panose="020B0004020202020204" pitchFamily="34" charset="0"/>
          </a:endParaRPr>
        </a:p>
      </xdr:txBody>
    </xdr:sp>
    <xdr:clientData/>
  </xdr:twoCellAnchor>
  <xdr:twoCellAnchor editAs="absolute">
    <xdr:from>
      <xdr:col>11</xdr:col>
      <xdr:colOff>300935</xdr:colOff>
      <xdr:row>9</xdr:row>
      <xdr:rowOff>31795</xdr:rowOff>
    </xdr:from>
    <xdr:to>
      <xdr:col>14</xdr:col>
      <xdr:colOff>218109</xdr:colOff>
      <xdr:row>11</xdr:row>
      <xdr:rowOff>68606</xdr:rowOff>
    </xdr:to>
    <xdr:sp macro="" textlink="KPI!C7">
      <xdr:nvSpPr>
        <xdr:cNvPr id="36" name="TextBox 35">
          <a:extLst>
            <a:ext uri="{FF2B5EF4-FFF2-40B4-BE49-F238E27FC236}">
              <a16:creationId xmlns:a16="http://schemas.microsoft.com/office/drawing/2014/main" id="{366C0366-5B9F-4A20-A467-E68E96015A45}"/>
            </a:ext>
          </a:extLst>
        </xdr:cNvPr>
        <xdr:cNvSpPr txBox="1"/>
      </xdr:nvSpPr>
      <xdr:spPr>
        <a:xfrm>
          <a:off x="7488399" y="1771143"/>
          <a:ext cx="187739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5CCF709-7B87-442C-8F1C-3DD8FA504F86}" type="TxLink">
            <a:rPr lang="en-US" sz="2800" b="1" i="0" u="none" strike="noStrike">
              <a:solidFill>
                <a:srgbClr val="002060"/>
              </a:solidFill>
              <a:latin typeface="Calibri"/>
              <a:ea typeface="Calibri"/>
              <a:cs typeface="Calibri"/>
            </a:rPr>
            <a:pPr marL="0" indent="0" algn="ctr"/>
            <a:t>37</a:t>
          </a:fld>
          <a:endParaRPr lang="en-IN" sz="2800" b="1" i="0" u="none" strike="noStrike">
            <a:solidFill>
              <a:srgbClr val="002060"/>
            </a:solidFill>
            <a:latin typeface="Calibri"/>
            <a:ea typeface="Calibri"/>
            <a:cs typeface="Calibri"/>
          </a:endParaRPr>
        </a:p>
      </xdr:txBody>
    </xdr:sp>
    <xdr:clientData/>
  </xdr:twoCellAnchor>
  <xdr:twoCellAnchor editAs="absolute">
    <xdr:from>
      <xdr:col>20</xdr:col>
      <xdr:colOff>319340</xdr:colOff>
      <xdr:row>7</xdr:row>
      <xdr:rowOff>73623</xdr:rowOff>
    </xdr:from>
    <xdr:to>
      <xdr:col>24</xdr:col>
      <xdr:colOff>43253</xdr:colOff>
      <xdr:row>8</xdr:row>
      <xdr:rowOff>165790</xdr:rowOff>
    </xdr:to>
    <xdr:sp macro="" textlink="">
      <xdr:nvSpPr>
        <xdr:cNvPr id="37" name="TextBox 36">
          <a:extLst>
            <a:ext uri="{FF2B5EF4-FFF2-40B4-BE49-F238E27FC236}">
              <a16:creationId xmlns:a16="http://schemas.microsoft.com/office/drawing/2014/main" id="{5C090855-5C06-492D-AE93-1F05EE600ED9}"/>
            </a:ext>
          </a:extLst>
        </xdr:cNvPr>
        <xdr:cNvSpPr txBox="1"/>
      </xdr:nvSpPr>
      <xdr:spPr>
        <a:xfrm>
          <a:off x="13387456" y="1426449"/>
          <a:ext cx="2337536" cy="28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latin typeface="Aptos Display" panose="020B0004020202020204" pitchFamily="34" charset="0"/>
            </a:rPr>
            <a:t>Attrition</a:t>
          </a:r>
          <a:r>
            <a:rPr lang="en-IN" sz="1800" b="1" baseline="0">
              <a:solidFill>
                <a:srgbClr val="C00000"/>
              </a:solidFill>
              <a:latin typeface="Aptos Display" panose="020B0004020202020204" pitchFamily="34" charset="0"/>
            </a:rPr>
            <a:t> Rate</a:t>
          </a:r>
          <a:endParaRPr lang="en-IN" sz="2000" b="1">
            <a:solidFill>
              <a:srgbClr val="C00000"/>
            </a:solidFill>
            <a:latin typeface="Aptos Display" panose="020B0004020202020204" pitchFamily="34" charset="0"/>
          </a:endParaRPr>
        </a:p>
      </xdr:txBody>
    </xdr:sp>
    <xdr:clientData/>
  </xdr:twoCellAnchor>
  <xdr:twoCellAnchor editAs="absolute">
    <xdr:from>
      <xdr:col>20</xdr:col>
      <xdr:colOff>258969</xdr:colOff>
      <xdr:row>9</xdr:row>
      <xdr:rowOff>31795</xdr:rowOff>
    </xdr:from>
    <xdr:to>
      <xdr:col>23</xdr:col>
      <xdr:colOff>176143</xdr:colOff>
      <xdr:row>11</xdr:row>
      <xdr:rowOff>68606</xdr:rowOff>
    </xdr:to>
    <xdr:sp macro="" textlink="KPI!E7">
      <xdr:nvSpPr>
        <xdr:cNvPr id="38" name="TextBox 37">
          <a:extLst>
            <a:ext uri="{FF2B5EF4-FFF2-40B4-BE49-F238E27FC236}">
              <a16:creationId xmlns:a16="http://schemas.microsoft.com/office/drawing/2014/main" id="{5313B95C-1714-4A8A-83B6-51E928AE9ACD}"/>
            </a:ext>
          </a:extLst>
        </xdr:cNvPr>
        <xdr:cNvSpPr txBox="1"/>
      </xdr:nvSpPr>
      <xdr:spPr>
        <a:xfrm>
          <a:off x="13327085" y="1771143"/>
          <a:ext cx="187739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4A9622-FC5C-49EB-AB60-7B7E21F6459C}" type="TxLink">
            <a:rPr lang="en-US" sz="2800" b="1" i="0" u="none" strike="noStrike">
              <a:solidFill>
                <a:srgbClr val="002060"/>
              </a:solidFill>
              <a:latin typeface="Calibri"/>
              <a:ea typeface="Calibri"/>
              <a:cs typeface="Calibri"/>
            </a:rPr>
            <a:pPr marL="0" indent="0" algn="ctr"/>
            <a:t>16%</a:t>
          </a:fld>
          <a:endParaRPr lang="en-IN" sz="2800" b="1" i="0" u="none" strike="noStrike">
            <a:solidFill>
              <a:srgbClr val="002060"/>
            </a:solidFill>
            <a:latin typeface="Calibri"/>
            <a:ea typeface="Calibri"/>
            <a:cs typeface="Calibri"/>
          </a:endParaRPr>
        </a:p>
      </xdr:txBody>
    </xdr:sp>
    <xdr:clientData/>
  </xdr:twoCellAnchor>
  <xdr:twoCellAnchor editAs="absolute">
    <xdr:from>
      <xdr:col>15</xdr:col>
      <xdr:colOff>460145</xdr:colOff>
      <xdr:row>7</xdr:row>
      <xdr:rowOff>73623</xdr:rowOff>
    </xdr:from>
    <xdr:to>
      <xdr:col>18</xdr:col>
      <xdr:colOff>496957</xdr:colOff>
      <xdr:row>9</xdr:row>
      <xdr:rowOff>119638</xdr:rowOff>
    </xdr:to>
    <xdr:sp macro="" textlink="">
      <xdr:nvSpPr>
        <xdr:cNvPr id="42" name="TextBox 41">
          <a:extLst>
            <a:ext uri="{FF2B5EF4-FFF2-40B4-BE49-F238E27FC236}">
              <a16:creationId xmlns:a16="http://schemas.microsoft.com/office/drawing/2014/main" id="{69A3FE87-837D-D53F-C577-46080DA1D408}"/>
            </a:ext>
          </a:extLst>
        </xdr:cNvPr>
        <xdr:cNvSpPr txBox="1"/>
      </xdr:nvSpPr>
      <xdr:spPr>
        <a:xfrm>
          <a:off x="10261232" y="1426449"/>
          <a:ext cx="1997029" cy="432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latin typeface="Aptos Display" panose="020B0004020202020204" pitchFamily="34" charset="0"/>
              <a:ea typeface="+mn-ea"/>
              <a:cs typeface="+mn-cs"/>
            </a:rPr>
            <a:t>Active</a:t>
          </a:r>
          <a:r>
            <a:rPr lang="en-IN" sz="1100"/>
            <a:t> </a:t>
          </a:r>
          <a:r>
            <a:rPr lang="en-IN" sz="1800" b="1">
              <a:solidFill>
                <a:srgbClr val="C00000"/>
              </a:solidFill>
              <a:latin typeface="Aptos Display" panose="020B0004020202020204" pitchFamily="34" charset="0"/>
              <a:ea typeface="+mn-ea"/>
              <a:cs typeface="+mn-cs"/>
            </a:rPr>
            <a:t>Employees</a:t>
          </a:r>
          <a:endParaRPr lang="en-IN" sz="2000" b="1">
            <a:solidFill>
              <a:srgbClr val="C00000"/>
            </a:solidFill>
            <a:latin typeface="Aptos Display" panose="020B0004020202020204" pitchFamily="34" charset="0"/>
            <a:ea typeface="+mn-ea"/>
            <a:cs typeface="+mn-cs"/>
          </a:endParaRPr>
        </a:p>
      </xdr:txBody>
    </xdr:sp>
    <xdr:clientData/>
  </xdr:twoCellAnchor>
  <xdr:twoCellAnchor editAs="absolute">
    <xdr:from>
      <xdr:col>5</xdr:col>
      <xdr:colOff>193262</xdr:colOff>
      <xdr:row>7</xdr:row>
      <xdr:rowOff>133029</xdr:rowOff>
    </xdr:from>
    <xdr:to>
      <xdr:col>6</xdr:col>
      <xdr:colOff>37758</xdr:colOff>
      <xdr:row>10</xdr:row>
      <xdr:rowOff>183304</xdr:rowOff>
    </xdr:to>
    <xdr:pic>
      <xdr:nvPicPr>
        <xdr:cNvPr id="43" name="image4.png">
          <a:extLst>
            <a:ext uri="{FF2B5EF4-FFF2-40B4-BE49-F238E27FC236}">
              <a16:creationId xmlns:a16="http://schemas.microsoft.com/office/drawing/2014/main" id="{B9835C79-C6E3-4AB4-9DFB-D4DDAC222854}"/>
            </a:ext>
          </a:extLst>
        </xdr:cNvPr>
        <xdr:cNvPicPr preferRelativeResize="0"/>
      </xdr:nvPicPr>
      <xdr:blipFill>
        <a:blip xmlns:r="http://schemas.openxmlformats.org/officeDocument/2006/relationships" r:embed="rId1" cstate="print"/>
        <a:stretch>
          <a:fillRect/>
        </a:stretch>
      </xdr:blipFill>
      <xdr:spPr>
        <a:xfrm>
          <a:off x="3460291" y="1485855"/>
          <a:ext cx="500316" cy="612406"/>
        </a:xfrm>
        <a:prstGeom prst="rect">
          <a:avLst/>
        </a:prstGeom>
        <a:noFill/>
      </xdr:spPr>
    </xdr:pic>
    <xdr:clientData/>
  </xdr:twoCellAnchor>
  <xdr:twoCellAnchor editAs="absolute">
    <xdr:from>
      <xdr:col>18</xdr:col>
      <xdr:colOff>414132</xdr:colOff>
      <xdr:row>7</xdr:row>
      <xdr:rowOff>73623</xdr:rowOff>
    </xdr:from>
    <xdr:to>
      <xdr:col>19</xdr:col>
      <xdr:colOff>325946</xdr:colOff>
      <xdr:row>10</xdr:row>
      <xdr:rowOff>183304</xdr:rowOff>
    </xdr:to>
    <xdr:pic>
      <xdr:nvPicPr>
        <xdr:cNvPr id="44" name="image5.png">
          <a:extLst>
            <a:ext uri="{FF2B5EF4-FFF2-40B4-BE49-F238E27FC236}">
              <a16:creationId xmlns:a16="http://schemas.microsoft.com/office/drawing/2014/main" id="{28C4E693-9BE8-4220-8C30-8DEACE448D50}"/>
            </a:ext>
          </a:extLst>
        </xdr:cNvPr>
        <xdr:cNvPicPr preferRelativeResize="0"/>
      </xdr:nvPicPr>
      <xdr:blipFill>
        <a:blip xmlns:r="http://schemas.openxmlformats.org/officeDocument/2006/relationships" r:embed="rId2" cstate="print"/>
        <a:stretch>
          <a:fillRect/>
        </a:stretch>
      </xdr:blipFill>
      <xdr:spPr>
        <a:xfrm>
          <a:off x="12175436" y="1426449"/>
          <a:ext cx="567634" cy="671812"/>
        </a:xfrm>
        <a:prstGeom prst="rect">
          <a:avLst/>
        </a:prstGeom>
        <a:noFill/>
      </xdr:spPr>
    </xdr:pic>
    <xdr:clientData/>
  </xdr:twoCellAnchor>
  <xdr:twoCellAnchor editAs="absolute">
    <xdr:from>
      <xdr:col>22</xdr:col>
      <xdr:colOff>570580</xdr:colOff>
      <xdr:row>7</xdr:row>
      <xdr:rowOff>82826</xdr:rowOff>
    </xdr:from>
    <xdr:to>
      <xdr:col>23</xdr:col>
      <xdr:colOff>577369</xdr:colOff>
      <xdr:row>10</xdr:row>
      <xdr:rowOff>174101</xdr:rowOff>
    </xdr:to>
    <xdr:pic>
      <xdr:nvPicPr>
        <xdr:cNvPr id="45" name="image2.png">
          <a:extLst>
            <a:ext uri="{FF2B5EF4-FFF2-40B4-BE49-F238E27FC236}">
              <a16:creationId xmlns:a16="http://schemas.microsoft.com/office/drawing/2014/main" id="{4B8785CF-D0FA-4767-8B69-38489BACC71C}"/>
            </a:ext>
          </a:extLst>
        </xdr:cNvPr>
        <xdr:cNvPicPr preferRelativeResize="0"/>
      </xdr:nvPicPr>
      <xdr:blipFill>
        <a:blip xmlns:r="http://schemas.openxmlformats.org/officeDocument/2006/relationships" r:embed="rId3" cstate="print"/>
        <a:stretch>
          <a:fillRect/>
        </a:stretch>
      </xdr:blipFill>
      <xdr:spPr>
        <a:xfrm>
          <a:off x="14945508" y="1435652"/>
          <a:ext cx="662608" cy="653406"/>
        </a:xfrm>
        <a:prstGeom prst="rect">
          <a:avLst/>
        </a:prstGeom>
        <a:noFill/>
      </xdr:spPr>
    </xdr:pic>
    <xdr:clientData/>
  </xdr:twoCellAnchor>
  <xdr:twoCellAnchor editAs="absolute">
    <xdr:from>
      <xdr:col>13</xdr:col>
      <xdr:colOff>635000</xdr:colOff>
      <xdr:row>7</xdr:row>
      <xdr:rowOff>55217</xdr:rowOff>
    </xdr:from>
    <xdr:to>
      <xdr:col>14</xdr:col>
      <xdr:colOff>588644</xdr:colOff>
      <xdr:row>10</xdr:row>
      <xdr:rowOff>45259</xdr:rowOff>
    </xdr:to>
    <xdr:pic>
      <xdr:nvPicPr>
        <xdr:cNvPr id="46" name="image6.png">
          <a:extLst>
            <a:ext uri="{FF2B5EF4-FFF2-40B4-BE49-F238E27FC236}">
              <a16:creationId xmlns:a16="http://schemas.microsoft.com/office/drawing/2014/main" id="{BB72C804-8E89-4777-8AC9-211475C573DB}"/>
            </a:ext>
          </a:extLst>
        </xdr:cNvPr>
        <xdr:cNvPicPr preferRelativeResize="0"/>
      </xdr:nvPicPr>
      <xdr:blipFill>
        <a:blip xmlns:r="http://schemas.openxmlformats.org/officeDocument/2006/relationships" r:embed="rId4" cstate="print"/>
        <a:stretch>
          <a:fillRect/>
        </a:stretch>
      </xdr:blipFill>
      <xdr:spPr>
        <a:xfrm>
          <a:off x="9129275" y="1408043"/>
          <a:ext cx="609463" cy="552173"/>
        </a:xfrm>
        <a:prstGeom prst="rect">
          <a:avLst/>
        </a:prstGeom>
        <a:noFill/>
      </xdr:spPr>
    </xdr:pic>
    <xdr:clientData/>
  </xdr:twoCellAnchor>
  <xdr:twoCellAnchor editAs="absolute">
    <xdr:from>
      <xdr:col>9</xdr:col>
      <xdr:colOff>36813</xdr:colOff>
      <xdr:row>7</xdr:row>
      <xdr:rowOff>1</xdr:rowOff>
    </xdr:from>
    <xdr:to>
      <xdr:col>10</xdr:col>
      <xdr:colOff>347297</xdr:colOff>
      <xdr:row>11</xdr:row>
      <xdr:rowOff>78752</xdr:rowOff>
    </xdr:to>
    <xdr:pic>
      <xdr:nvPicPr>
        <xdr:cNvPr id="47" name="image7.png">
          <a:extLst>
            <a:ext uri="{FF2B5EF4-FFF2-40B4-BE49-F238E27FC236}">
              <a16:creationId xmlns:a16="http://schemas.microsoft.com/office/drawing/2014/main" id="{37DB6507-3667-4806-A572-CC61205B7319}"/>
            </a:ext>
          </a:extLst>
        </xdr:cNvPr>
        <xdr:cNvPicPr preferRelativeResize="0"/>
      </xdr:nvPicPr>
      <xdr:blipFill>
        <a:blip xmlns:r="http://schemas.openxmlformats.org/officeDocument/2006/relationships" r:embed="rId5" cstate="print"/>
        <a:stretch>
          <a:fillRect/>
        </a:stretch>
      </xdr:blipFill>
      <xdr:spPr>
        <a:xfrm>
          <a:off x="5917465" y="1352827"/>
          <a:ext cx="966304" cy="828260"/>
        </a:xfrm>
        <a:prstGeom prst="rect">
          <a:avLst/>
        </a:prstGeom>
        <a:noFill/>
      </xdr:spPr>
    </xdr:pic>
    <xdr:clientData/>
  </xdr:twoCellAnchor>
  <xdr:twoCellAnchor editAs="absolute">
    <xdr:from>
      <xdr:col>2</xdr:col>
      <xdr:colOff>174855</xdr:colOff>
      <xdr:row>2</xdr:row>
      <xdr:rowOff>119636</xdr:rowOff>
    </xdr:from>
    <xdr:to>
      <xdr:col>14</xdr:col>
      <xdr:colOff>506160</xdr:colOff>
      <xdr:row>6</xdr:row>
      <xdr:rowOff>46015</xdr:rowOff>
    </xdr:to>
    <xdr:sp macro="" textlink="">
      <xdr:nvSpPr>
        <xdr:cNvPr id="48" name="TextBox 47">
          <a:extLst>
            <a:ext uri="{FF2B5EF4-FFF2-40B4-BE49-F238E27FC236}">
              <a16:creationId xmlns:a16="http://schemas.microsoft.com/office/drawing/2014/main" id="{B208EB97-28D5-CB5D-1DDC-05EF7FAFD307}"/>
            </a:ext>
          </a:extLst>
        </xdr:cNvPr>
        <xdr:cNvSpPr txBox="1"/>
      </xdr:nvSpPr>
      <xdr:spPr>
        <a:xfrm>
          <a:off x="1481667" y="506158"/>
          <a:ext cx="8172174" cy="699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r"/>
          <a:r>
            <a:rPr lang="en-IN" sz="4800">
              <a:solidFill>
                <a:srgbClr val="002060"/>
              </a:solidFill>
              <a:latin typeface="Aptos" panose="020B0004020202020204" pitchFamily="34" charset="0"/>
              <a:cs typeface="+mn-cs"/>
            </a:rPr>
            <a:t>HR ANALYTICS DASHBOARD</a:t>
          </a:r>
        </a:p>
      </xdr:txBody>
    </xdr:sp>
    <xdr:clientData/>
  </xdr:twoCellAnchor>
  <xdr:twoCellAnchor editAs="absolute">
    <xdr:from>
      <xdr:col>2</xdr:col>
      <xdr:colOff>156450</xdr:colOff>
      <xdr:row>2</xdr:row>
      <xdr:rowOff>73624</xdr:rowOff>
    </xdr:from>
    <xdr:to>
      <xdr:col>3</xdr:col>
      <xdr:colOff>25194</xdr:colOff>
      <xdr:row>6</xdr:row>
      <xdr:rowOff>32738</xdr:rowOff>
    </xdr:to>
    <xdr:pic>
      <xdr:nvPicPr>
        <xdr:cNvPr id="49" name="image1.png">
          <a:extLst>
            <a:ext uri="{FF2B5EF4-FFF2-40B4-BE49-F238E27FC236}">
              <a16:creationId xmlns:a16="http://schemas.microsoft.com/office/drawing/2014/main" id="{427F340B-35B0-421B-B0CE-05CCC4933947}"/>
            </a:ext>
          </a:extLst>
        </xdr:cNvPr>
        <xdr:cNvPicPr preferRelativeResize="0"/>
      </xdr:nvPicPr>
      <xdr:blipFill>
        <a:blip xmlns:r="http://schemas.openxmlformats.org/officeDocument/2006/relationships" r:embed="rId6" cstate="print"/>
        <a:stretch>
          <a:fillRect/>
        </a:stretch>
      </xdr:blipFill>
      <xdr:spPr>
        <a:xfrm>
          <a:off x="1463262" y="460146"/>
          <a:ext cx="524564" cy="708622"/>
        </a:xfrm>
        <a:prstGeom prst="rect">
          <a:avLst/>
        </a:prstGeom>
        <a:noFill/>
      </xdr:spPr>
    </xdr:pic>
    <xdr:clientData/>
  </xdr:twoCellAnchor>
  <xdr:twoCellAnchor editAs="absolute">
    <xdr:from>
      <xdr:col>15</xdr:col>
      <xdr:colOff>147247</xdr:colOff>
      <xdr:row>2</xdr:row>
      <xdr:rowOff>169840</xdr:rowOff>
    </xdr:from>
    <xdr:to>
      <xdr:col>16</xdr:col>
      <xdr:colOff>62007</xdr:colOff>
      <xdr:row>6</xdr:row>
      <xdr:rowOff>48982</xdr:rowOff>
    </xdr:to>
    <xdr:pic>
      <xdr:nvPicPr>
        <xdr:cNvPr id="50" name="image3.png">
          <a:extLst>
            <a:ext uri="{FF2B5EF4-FFF2-40B4-BE49-F238E27FC236}">
              <a16:creationId xmlns:a16="http://schemas.microsoft.com/office/drawing/2014/main" id="{9D6D8D36-FE75-4B48-8B0D-0796B9E24E13}"/>
            </a:ext>
          </a:extLst>
        </xdr:cNvPr>
        <xdr:cNvPicPr preferRelativeResize="0"/>
      </xdr:nvPicPr>
      <xdr:blipFill>
        <a:blip xmlns:r="http://schemas.openxmlformats.org/officeDocument/2006/relationships" r:embed="rId7" cstate="print"/>
        <a:stretch>
          <a:fillRect/>
        </a:stretch>
      </xdr:blipFill>
      <xdr:spPr>
        <a:xfrm>
          <a:off x="9948334" y="556362"/>
          <a:ext cx="570580" cy="628650"/>
        </a:xfrm>
        <a:prstGeom prst="rect">
          <a:avLst/>
        </a:prstGeom>
        <a:noFill/>
      </xdr:spPr>
    </xdr:pic>
    <xdr:clientData/>
  </xdr:twoCellAnchor>
  <xdr:twoCellAnchor editAs="absolute">
    <xdr:from>
      <xdr:col>16</xdr:col>
      <xdr:colOff>55218</xdr:colOff>
      <xdr:row>2</xdr:row>
      <xdr:rowOff>147246</xdr:rowOff>
    </xdr:from>
    <xdr:to>
      <xdr:col>18</xdr:col>
      <xdr:colOff>349710</xdr:colOff>
      <xdr:row>6</xdr:row>
      <xdr:rowOff>9203</xdr:rowOff>
    </xdr:to>
    <xdr:sp macro="" textlink="">
      <xdr:nvSpPr>
        <xdr:cNvPr id="51" name="TextBox 50">
          <a:extLst>
            <a:ext uri="{FF2B5EF4-FFF2-40B4-BE49-F238E27FC236}">
              <a16:creationId xmlns:a16="http://schemas.microsoft.com/office/drawing/2014/main" id="{C444B519-136D-A34C-A210-32E0E2F2CE7A}"/>
            </a:ext>
          </a:extLst>
        </xdr:cNvPr>
        <xdr:cNvSpPr txBox="1"/>
      </xdr:nvSpPr>
      <xdr:spPr>
        <a:xfrm>
          <a:off x="10509711" y="533768"/>
          <a:ext cx="1601303"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C00000"/>
              </a:solidFill>
              <a:latin typeface="Aptos Display" panose="020B0004020202020204" pitchFamily="34" charset="0"/>
              <a:ea typeface="+mn-ea"/>
              <a:cs typeface="+mn-cs"/>
            </a:rPr>
            <a:t>Job</a:t>
          </a:r>
          <a:r>
            <a:rPr lang="en-IN" sz="1400" b="1">
              <a:latin typeface="Aptos Display" panose="020B0004020202020204" pitchFamily="34" charset="0"/>
            </a:rPr>
            <a:t> </a:t>
          </a:r>
          <a:r>
            <a:rPr lang="en-IN" sz="1600" b="1">
              <a:solidFill>
                <a:srgbClr val="C00000"/>
              </a:solidFill>
              <a:latin typeface="Aptos Display" panose="020B0004020202020204" pitchFamily="34" charset="0"/>
            </a:rPr>
            <a:t>Satisfaction</a:t>
          </a:r>
          <a:r>
            <a:rPr lang="en-IN" sz="1600" b="1">
              <a:latin typeface="Aptos Display" panose="020B0004020202020204" pitchFamily="34" charset="0"/>
            </a:rPr>
            <a:t> </a:t>
          </a:r>
          <a:r>
            <a:rPr lang="en-IN" sz="1600" b="1">
              <a:solidFill>
                <a:srgbClr val="C00000"/>
              </a:solidFill>
              <a:latin typeface="Aptos Display" panose="020B0004020202020204" pitchFamily="34" charset="0"/>
            </a:rPr>
            <a:t>Rating</a:t>
          </a:r>
          <a:endParaRPr lang="en-IN" sz="1400" b="1">
            <a:solidFill>
              <a:srgbClr val="C00000"/>
            </a:solidFill>
            <a:latin typeface="Aptos Display" panose="020B0004020202020204" pitchFamily="34" charset="0"/>
          </a:endParaRPr>
        </a:p>
      </xdr:txBody>
    </xdr:sp>
    <xdr:clientData/>
  </xdr:twoCellAnchor>
  <xdr:twoCellAnchor editAs="absolute">
    <xdr:from>
      <xdr:col>18</xdr:col>
      <xdr:colOff>156450</xdr:colOff>
      <xdr:row>2</xdr:row>
      <xdr:rowOff>46014</xdr:rowOff>
    </xdr:from>
    <xdr:to>
      <xdr:col>19</xdr:col>
      <xdr:colOff>635000</xdr:colOff>
      <xdr:row>6</xdr:row>
      <xdr:rowOff>46015</xdr:rowOff>
    </xdr:to>
    <xdr:graphicFrame macro="">
      <xdr:nvGraphicFramePr>
        <xdr:cNvPr id="53" name="Chart 52">
          <a:extLst>
            <a:ext uri="{FF2B5EF4-FFF2-40B4-BE49-F238E27FC236}">
              <a16:creationId xmlns:a16="http://schemas.microsoft.com/office/drawing/2014/main" id="{25345568-4ED9-42FD-BCB3-EC10D9DAD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18</xdr:col>
      <xdr:colOff>487754</xdr:colOff>
      <xdr:row>3</xdr:row>
      <xdr:rowOff>110434</xdr:rowOff>
    </xdr:from>
    <xdr:to>
      <xdr:col>19</xdr:col>
      <xdr:colOff>220869</xdr:colOff>
      <xdr:row>5</xdr:row>
      <xdr:rowOff>2</xdr:rowOff>
    </xdr:to>
    <xdr:sp macro="" textlink="Rating!B6">
      <xdr:nvSpPr>
        <xdr:cNvPr id="54" name="TextBox 53">
          <a:extLst>
            <a:ext uri="{FF2B5EF4-FFF2-40B4-BE49-F238E27FC236}">
              <a16:creationId xmlns:a16="http://schemas.microsoft.com/office/drawing/2014/main" id="{00E52BF8-A502-081F-9531-35D9A1CA80D3}"/>
            </a:ext>
          </a:extLst>
        </xdr:cNvPr>
        <xdr:cNvSpPr txBox="1"/>
      </xdr:nvSpPr>
      <xdr:spPr>
        <a:xfrm>
          <a:off x="12249058" y="690217"/>
          <a:ext cx="386521" cy="27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960D9D-3618-436F-8092-32A4B4B38631}" type="TxLink">
            <a:rPr lang="en-US" sz="1200" b="1" i="0" u="none" strike="noStrike">
              <a:solidFill>
                <a:srgbClr val="000000"/>
              </a:solidFill>
              <a:latin typeface="Calibri"/>
              <a:ea typeface="Calibri"/>
              <a:cs typeface="Calibri"/>
            </a:rPr>
            <a:pPr/>
            <a:t>2.6</a:t>
          </a:fld>
          <a:endParaRPr lang="en-IN" sz="1100" b="1"/>
        </a:p>
      </xdr:txBody>
    </xdr:sp>
    <xdr:clientData/>
  </xdr:twoCellAnchor>
  <xdr:twoCellAnchor editAs="absolute">
    <xdr:from>
      <xdr:col>19</xdr:col>
      <xdr:colOff>544259</xdr:colOff>
      <xdr:row>2</xdr:row>
      <xdr:rowOff>96216</xdr:rowOff>
    </xdr:from>
    <xdr:to>
      <xdr:col>23</xdr:col>
      <xdr:colOff>642086</xdr:colOff>
      <xdr:row>6</xdr:row>
      <xdr:rowOff>47073</xdr:rowOff>
    </xdr:to>
    <xdr:graphicFrame macro="">
      <xdr:nvGraphicFramePr>
        <xdr:cNvPr id="56" name="Chart 55">
          <a:extLst>
            <a:ext uri="{FF2B5EF4-FFF2-40B4-BE49-F238E27FC236}">
              <a16:creationId xmlns:a16="http://schemas.microsoft.com/office/drawing/2014/main" id="{9230AB6D-39C5-4F1C-8E0D-99B2DFC54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26</xdr:col>
      <xdr:colOff>358913</xdr:colOff>
      <xdr:row>20</xdr:row>
      <xdr:rowOff>147247</xdr:rowOff>
    </xdr:from>
    <xdr:to>
      <xdr:col>26</xdr:col>
      <xdr:colOff>543644</xdr:colOff>
      <xdr:row>22</xdr:row>
      <xdr:rowOff>37053</xdr:rowOff>
    </xdr:to>
    <xdr:sp macro="" textlink="">
      <xdr:nvSpPr>
        <xdr:cNvPr id="62" name="TextBox 61">
          <a:extLst>
            <a:ext uri="{FF2B5EF4-FFF2-40B4-BE49-F238E27FC236}">
              <a16:creationId xmlns:a16="http://schemas.microsoft.com/office/drawing/2014/main" id="{FA21DC2D-0610-FB50-3731-1D439DB08786}"/>
            </a:ext>
          </a:extLst>
        </xdr:cNvPr>
        <xdr:cNvSpPr txBox="1"/>
      </xdr:nvSpPr>
      <xdr:spPr>
        <a:xfrm>
          <a:off x="17347464" y="40124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twoCellAnchor>
  <xdr:twoCellAnchor editAs="absolute">
    <xdr:from>
      <xdr:col>17</xdr:col>
      <xdr:colOff>64421</xdr:colOff>
      <xdr:row>12</xdr:row>
      <xdr:rowOff>55219</xdr:rowOff>
    </xdr:from>
    <xdr:to>
      <xdr:col>22</xdr:col>
      <xdr:colOff>533768</xdr:colOff>
      <xdr:row>13</xdr:row>
      <xdr:rowOff>110436</xdr:rowOff>
    </xdr:to>
    <xdr:sp macro="" textlink="">
      <xdr:nvSpPr>
        <xdr:cNvPr id="65" name="TextBox 64">
          <a:extLst>
            <a:ext uri="{FF2B5EF4-FFF2-40B4-BE49-F238E27FC236}">
              <a16:creationId xmlns:a16="http://schemas.microsoft.com/office/drawing/2014/main" id="{3F4580D6-03C3-93CC-8671-6664972EB500}"/>
            </a:ext>
          </a:extLst>
        </xdr:cNvPr>
        <xdr:cNvSpPr txBox="1"/>
      </xdr:nvSpPr>
      <xdr:spPr>
        <a:xfrm>
          <a:off x="11172320" y="2374349"/>
          <a:ext cx="3736376"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rPr>
            <a:t>Attrition by Job Role</a:t>
          </a:r>
        </a:p>
      </xdr:txBody>
    </xdr:sp>
    <xdr:clientData/>
  </xdr:twoCellAnchor>
  <xdr:twoCellAnchor editAs="absolute">
    <xdr:from>
      <xdr:col>26</xdr:col>
      <xdr:colOff>414130</xdr:colOff>
      <xdr:row>19</xdr:row>
      <xdr:rowOff>128840</xdr:rowOff>
    </xdr:from>
    <xdr:to>
      <xdr:col>26</xdr:col>
      <xdr:colOff>598861</xdr:colOff>
      <xdr:row>21</xdr:row>
      <xdr:rowOff>18646</xdr:rowOff>
    </xdr:to>
    <xdr:sp macro="" textlink="">
      <xdr:nvSpPr>
        <xdr:cNvPr id="66" name="TextBox 65">
          <a:extLst>
            <a:ext uri="{FF2B5EF4-FFF2-40B4-BE49-F238E27FC236}">
              <a16:creationId xmlns:a16="http://schemas.microsoft.com/office/drawing/2014/main" id="{B5E3E131-439B-6801-887B-4F89209042A0}"/>
            </a:ext>
          </a:extLst>
        </xdr:cNvPr>
        <xdr:cNvSpPr txBox="1"/>
      </xdr:nvSpPr>
      <xdr:spPr>
        <a:xfrm>
          <a:off x="17402681" y="38007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twoCellAnchor>
  <xdr:twoCellAnchor editAs="absolute">
    <xdr:from>
      <xdr:col>1</xdr:col>
      <xdr:colOff>552174</xdr:colOff>
      <xdr:row>18</xdr:row>
      <xdr:rowOff>55218</xdr:rowOff>
    </xdr:from>
    <xdr:to>
      <xdr:col>4</xdr:col>
      <xdr:colOff>552174</xdr:colOff>
      <xdr:row>25</xdr:row>
      <xdr:rowOff>160730</xdr:rowOff>
    </xdr:to>
    <xdr:graphicFrame macro="">
      <xdr:nvGraphicFramePr>
        <xdr:cNvPr id="68" name="Chart 67">
          <a:extLst>
            <a:ext uri="{FF2B5EF4-FFF2-40B4-BE49-F238E27FC236}">
              <a16:creationId xmlns:a16="http://schemas.microsoft.com/office/drawing/2014/main" id="{F2E5AE7D-5BDD-4AB9-AC58-6F9E741CE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6</xdr:col>
      <xdr:colOff>184058</xdr:colOff>
      <xdr:row>19</xdr:row>
      <xdr:rowOff>32693</xdr:rowOff>
    </xdr:from>
    <xdr:to>
      <xdr:col>8</xdr:col>
      <xdr:colOff>344924</xdr:colOff>
      <xdr:row>24</xdr:row>
      <xdr:rowOff>183253</xdr:rowOff>
    </xdr:to>
    <xdr:graphicFrame macro="">
      <xdr:nvGraphicFramePr>
        <xdr:cNvPr id="70" name="Chart 69">
          <a:extLst>
            <a:ext uri="{FF2B5EF4-FFF2-40B4-BE49-F238E27FC236}">
              <a16:creationId xmlns:a16="http://schemas.microsoft.com/office/drawing/2014/main" id="{6AC098AB-6F70-4B25-ABB5-2B1FD5830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5</xdr:col>
      <xdr:colOff>211666</xdr:colOff>
      <xdr:row>20</xdr:row>
      <xdr:rowOff>59819</xdr:rowOff>
    </xdr:from>
    <xdr:to>
      <xdr:col>6</xdr:col>
      <xdr:colOff>472660</xdr:colOff>
      <xdr:row>25</xdr:row>
      <xdr:rowOff>7914</xdr:rowOff>
    </xdr:to>
    <xdr:pic>
      <xdr:nvPicPr>
        <xdr:cNvPr id="72" name="Graphic 71" descr="Male profile with solid fill">
          <a:extLst>
            <a:ext uri="{FF2B5EF4-FFF2-40B4-BE49-F238E27FC236}">
              <a16:creationId xmlns:a16="http://schemas.microsoft.com/office/drawing/2014/main" id="{B199C5E1-432B-C0AB-B2AA-FE789132331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78695" y="3925036"/>
          <a:ext cx="914400" cy="914400"/>
        </a:xfrm>
        <a:prstGeom prst="rect">
          <a:avLst/>
        </a:prstGeom>
      </xdr:spPr>
    </xdr:pic>
    <xdr:clientData/>
  </xdr:twoCellAnchor>
  <xdr:twoCellAnchor editAs="absolute">
    <xdr:from>
      <xdr:col>3</xdr:col>
      <xdr:colOff>450941</xdr:colOff>
      <xdr:row>20</xdr:row>
      <xdr:rowOff>27609</xdr:rowOff>
    </xdr:from>
    <xdr:to>
      <xdr:col>5</xdr:col>
      <xdr:colOff>58529</xdr:colOff>
      <xdr:row>24</xdr:row>
      <xdr:rowOff>182769</xdr:rowOff>
    </xdr:to>
    <xdr:pic>
      <xdr:nvPicPr>
        <xdr:cNvPr id="74" name="Graphic 73" descr="Female Profile with solid fill">
          <a:extLst>
            <a:ext uri="{FF2B5EF4-FFF2-40B4-BE49-F238E27FC236}">
              <a16:creationId xmlns:a16="http://schemas.microsoft.com/office/drawing/2014/main" id="{2AEE029D-F9E0-7891-C26E-C88296DE685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11158" y="3892826"/>
          <a:ext cx="914400" cy="928204"/>
        </a:xfrm>
        <a:prstGeom prst="rect">
          <a:avLst/>
        </a:prstGeom>
      </xdr:spPr>
    </xdr:pic>
    <xdr:clientData/>
  </xdr:twoCellAnchor>
  <xdr:twoCellAnchor editAs="absolute">
    <xdr:from>
      <xdr:col>2</xdr:col>
      <xdr:colOff>138043</xdr:colOff>
      <xdr:row>12</xdr:row>
      <xdr:rowOff>119638</xdr:rowOff>
    </xdr:from>
    <xdr:to>
      <xdr:col>7</xdr:col>
      <xdr:colOff>165652</xdr:colOff>
      <xdr:row>13</xdr:row>
      <xdr:rowOff>174855</xdr:rowOff>
    </xdr:to>
    <xdr:sp macro="" textlink="">
      <xdr:nvSpPr>
        <xdr:cNvPr id="75" name="TextBox 74">
          <a:extLst>
            <a:ext uri="{FF2B5EF4-FFF2-40B4-BE49-F238E27FC236}">
              <a16:creationId xmlns:a16="http://schemas.microsoft.com/office/drawing/2014/main" id="{B4423D27-FF36-136F-B3B7-D8740E5F12BE}"/>
            </a:ext>
          </a:extLst>
        </xdr:cNvPr>
        <xdr:cNvSpPr txBox="1"/>
      </xdr:nvSpPr>
      <xdr:spPr>
        <a:xfrm>
          <a:off x="1444855" y="2438768"/>
          <a:ext cx="3294638"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rgbClr val="C00000"/>
              </a:solidFill>
            </a:rPr>
            <a:t>Total</a:t>
          </a:r>
          <a:r>
            <a:rPr lang="en-IN" sz="1800" b="1" baseline="0">
              <a:solidFill>
                <a:srgbClr val="C00000"/>
              </a:solidFill>
            </a:rPr>
            <a:t> employees by Gender</a:t>
          </a:r>
          <a:endParaRPr lang="en-IN" sz="1800" b="1">
            <a:solidFill>
              <a:srgbClr val="C00000"/>
            </a:solidFill>
          </a:endParaRPr>
        </a:p>
      </xdr:txBody>
    </xdr:sp>
    <xdr:clientData/>
  </xdr:twoCellAnchor>
  <xdr:twoCellAnchor editAs="absolute">
    <xdr:from>
      <xdr:col>2</xdr:col>
      <xdr:colOff>635000</xdr:colOff>
      <xdr:row>15</xdr:row>
      <xdr:rowOff>55218</xdr:rowOff>
    </xdr:from>
    <xdr:to>
      <xdr:col>6</xdr:col>
      <xdr:colOff>598188</xdr:colOff>
      <xdr:row>18</xdr:row>
      <xdr:rowOff>73624</xdr:rowOff>
    </xdr:to>
    <mc:AlternateContent xmlns:mc="http://schemas.openxmlformats.org/markup-compatibility/2006" xmlns:a14="http://schemas.microsoft.com/office/drawing/2010/main">
      <mc:Choice Requires="a14">
        <xdr:graphicFrame macro="">
          <xdr:nvGraphicFramePr>
            <xdr:cNvPr id="77" name="Gender 1">
              <a:extLst>
                <a:ext uri="{FF2B5EF4-FFF2-40B4-BE49-F238E27FC236}">
                  <a16:creationId xmlns:a16="http://schemas.microsoft.com/office/drawing/2014/main" id="{21F979C1-DE2A-4B19-9B02-50BAF1CD944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46639" y="2865874"/>
              <a:ext cx="2586467" cy="580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8</xdr:col>
      <xdr:colOff>397015</xdr:colOff>
      <xdr:row>14</xdr:row>
      <xdr:rowOff>123828</xdr:rowOff>
    </xdr:from>
    <xdr:to>
      <xdr:col>15</xdr:col>
      <xdr:colOff>239276</xdr:colOff>
      <xdr:row>26</xdr:row>
      <xdr:rowOff>27609</xdr:rowOff>
    </xdr:to>
    <xdr:graphicFrame macro="">
      <xdr:nvGraphicFramePr>
        <xdr:cNvPr id="79" name="Chart 78">
          <a:extLst>
            <a:ext uri="{FF2B5EF4-FFF2-40B4-BE49-F238E27FC236}">
              <a16:creationId xmlns:a16="http://schemas.microsoft.com/office/drawing/2014/main" id="{ABD4B397-A98F-49EB-80F1-081D51D95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561377</xdr:colOff>
      <xdr:row>12</xdr:row>
      <xdr:rowOff>0</xdr:rowOff>
    </xdr:from>
    <xdr:to>
      <xdr:col>15</xdr:col>
      <xdr:colOff>82825</xdr:colOff>
      <xdr:row>13</xdr:row>
      <xdr:rowOff>174855</xdr:rowOff>
    </xdr:to>
    <xdr:sp macro="" textlink="">
      <xdr:nvSpPr>
        <xdr:cNvPr id="84" name="TextBox 83">
          <a:extLst>
            <a:ext uri="{FF2B5EF4-FFF2-40B4-BE49-F238E27FC236}">
              <a16:creationId xmlns:a16="http://schemas.microsoft.com/office/drawing/2014/main" id="{B5782B04-0E14-AA6C-0DF4-F62AC10351BA}"/>
            </a:ext>
          </a:extLst>
        </xdr:cNvPr>
        <xdr:cNvSpPr txBox="1"/>
      </xdr:nvSpPr>
      <xdr:spPr>
        <a:xfrm>
          <a:off x="5788623" y="2319130"/>
          <a:ext cx="4095289" cy="368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00000"/>
              </a:solidFill>
              <a:latin typeface="Arial Black" panose="020B0A04020102020204" pitchFamily="34" charset="0"/>
              <a:cs typeface="+mn-cs"/>
            </a:rPr>
            <a:t>Education wise Attrition</a:t>
          </a:r>
        </a:p>
      </xdr:txBody>
    </xdr:sp>
    <xdr:clientData/>
  </xdr:twoCellAnchor>
  <xdr:twoCellAnchor editAs="absolute">
    <xdr:from>
      <xdr:col>16</xdr:col>
      <xdr:colOff>506160</xdr:colOff>
      <xdr:row>14</xdr:row>
      <xdr:rowOff>92028</xdr:rowOff>
    </xdr:from>
    <xdr:to>
      <xdr:col>24</xdr:col>
      <xdr:colOff>82827</xdr:colOff>
      <xdr:row>25</xdr:row>
      <xdr:rowOff>174855</xdr:rowOff>
    </xdr:to>
    <mc:AlternateContent xmlns:mc="http://schemas.openxmlformats.org/markup-compatibility/2006">
      <mc:Choice xmlns:cx1="http://schemas.microsoft.com/office/drawing/2015/9/8/chartex" Requires="cx1">
        <xdr:graphicFrame macro="">
          <xdr:nvGraphicFramePr>
            <xdr:cNvPr id="86" name="Chart 85">
              <a:extLst>
                <a:ext uri="{FF2B5EF4-FFF2-40B4-BE49-F238E27FC236}">
                  <a16:creationId xmlns:a16="http://schemas.microsoft.com/office/drawing/2014/main" id="{3EE6F6EB-C35E-4DE9-A7BD-CBC568876B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970960" y="2759028"/>
              <a:ext cx="4809067" cy="21783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xdr:col>
      <xdr:colOff>533768</xdr:colOff>
      <xdr:row>28</xdr:row>
      <xdr:rowOff>110435</xdr:rowOff>
    </xdr:from>
    <xdr:to>
      <xdr:col>8</xdr:col>
      <xdr:colOff>174855</xdr:colOff>
      <xdr:row>39</xdr:row>
      <xdr:rowOff>128839</xdr:rowOff>
    </xdr:to>
    <xdr:graphicFrame macro="">
      <xdr:nvGraphicFramePr>
        <xdr:cNvPr id="88" name="Chart 87">
          <a:extLst>
            <a:ext uri="{FF2B5EF4-FFF2-40B4-BE49-F238E27FC236}">
              <a16:creationId xmlns:a16="http://schemas.microsoft.com/office/drawing/2014/main" id="{7A40C00D-94B5-4877-B89F-87F0C2EDE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276088</xdr:colOff>
      <xdr:row>28</xdr:row>
      <xdr:rowOff>110435</xdr:rowOff>
    </xdr:from>
    <xdr:to>
      <xdr:col>14</xdr:col>
      <xdr:colOff>276087</xdr:colOff>
      <xdr:row>39</xdr:row>
      <xdr:rowOff>37547</xdr:rowOff>
    </xdr:to>
    <xdr:graphicFrame macro="">
      <xdr:nvGraphicFramePr>
        <xdr:cNvPr id="90" name="Chart 89">
          <a:extLst>
            <a:ext uri="{FF2B5EF4-FFF2-40B4-BE49-F238E27FC236}">
              <a16:creationId xmlns:a16="http://schemas.microsoft.com/office/drawing/2014/main" id="{DACEA022-9C55-4D29-B8C1-4FF9CAFC7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14</xdr:col>
      <xdr:colOff>397014</xdr:colOff>
      <xdr:row>28</xdr:row>
      <xdr:rowOff>73623</xdr:rowOff>
    </xdr:from>
    <xdr:to>
      <xdr:col>19</xdr:col>
      <xdr:colOff>239276</xdr:colOff>
      <xdr:row>39</xdr:row>
      <xdr:rowOff>36903</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150FAACD-6A89-4ADE-907A-A66AE8E386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553714" y="5407623"/>
              <a:ext cx="3112512" cy="2058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22</xdr:col>
      <xdr:colOff>276086</xdr:colOff>
      <xdr:row>28</xdr:row>
      <xdr:rowOff>156448</xdr:rowOff>
    </xdr:from>
    <xdr:to>
      <xdr:col>24</xdr:col>
      <xdr:colOff>18406</xdr:colOff>
      <xdr:row>38</xdr:row>
      <xdr:rowOff>73622</xdr:rowOff>
    </xdr:to>
    <mc:AlternateContent xmlns:mc="http://schemas.openxmlformats.org/markup-compatibility/2006" xmlns:a14="http://schemas.microsoft.com/office/drawing/2010/main">
      <mc:Choice Requires="a14">
        <xdr:graphicFrame macro="">
          <xdr:nvGraphicFramePr>
            <xdr:cNvPr id="52" name="Department 1">
              <a:extLst>
                <a:ext uri="{FF2B5EF4-FFF2-40B4-BE49-F238E27FC236}">
                  <a16:creationId xmlns:a16="http://schemas.microsoft.com/office/drawing/2014/main" id="{08609246-9B5A-470A-91CD-5427A3B82DE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704119" y="5403005"/>
              <a:ext cx="1053959" cy="1790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19</xdr:col>
      <xdr:colOff>387164</xdr:colOff>
      <xdr:row>28</xdr:row>
      <xdr:rowOff>156450</xdr:rowOff>
    </xdr:from>
    <xdr:to>
      <xdr:col>22</xdr:col>
      <xdr:colOff>255746</xdr:colOff>
      <xdr:row>38</xdr:row>
      <xdr:rowOff>147246</xdr:rowOff>
    </xdr:to>
    <mc:AlternateContent xmlns:mc="http://schemas.openxmlformats.org/markup-compatibility/2006" xmlns:a14="http://schemas.microsoft.com/office/drawing/2010/main">
      <mc:Choice Requires="a14">
        <xdr:graphicFrame macro="">
          <xdr:nvGraphicFramePr>
            <xdr:cNvPr id="55" name="Education Field 3">
              <a:extLst>
                <a:ext uri="{FF2B5EF4-FFF2-40B4-BE49-F238E27FC236}">
                  <a16:creationId xmlns:a16="http://schemas.microsoft.com/office/drawing/2014/main" id="{1C5E973A-6F95-4F5C-B0B2-367817E7D94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847738" y="5403007"/>
              <a:ext cx="1836041" cy="1864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2</xdr:col>
      <xdr:colOff>230072</xdr:colOff>
      <xdr:row>26</xdr:row>
      <xdr:rowOff>82824</xdr:rowOff>
    </xdr:from>
    <xdr:to>
      <xdr:col>6</xdr:col>
      <xdr:colOff>579330</xdr:colOff>
      <xdr:row>28</xdr:row>
      <xdr:rowOff>50856</xdr:rowOff>
    </xdr:to>
    <xdr:sp macro="" textlink="">
      <xdr:nvSpPr>
        <xdr:cNvPr id="57" name="TextBox 56">
          <a:extLst>
            <a:ext uri="{FF2B5EF4-FFF2-40B4-BE49-F238E27FC236}">
              <a16:creationId xmlns:a16="http://schemas.microsoft.com/office/drawing/2014/main" id="{C1FB6830-B814-0993-396A-DF025614BE3C}"/>
            </a:ext>
          </a:extLst>
        </xdr:cNvPr>
        <xdr:cNvSpPr txBox="1"/>
      </xdr:nvSpPr>
      <xdr:spPr>
        <a:xfrm>
          <a:off x="1536884" y="5107607"/>
          <a:ext cx="297253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rgbClr val="C00000"/>
              </a:solidFill>
            </a:rPr>
            <a:t>Department</a:t>
          </a:r>
          <a:r>
            <a:rPr lang="en-IN" sz="1600" b="1" baseline="0">
              <a:solidFill>
                <a:srgbClr val="C00000"/>
              </a:solidFill>
            </a:rPr>
            <a:t> wise Attrition</a:t>
          </a:r>
          <a:endParaRPr lang="en-IN" sz="1600" b="1">
            <a:solidFill>
              <a:srgbClr val="C00000"/>
            </a:solidFill>
          </a:endParaRPr>
        </a:p>
      </xdr:txBody>
    </xdr:sp>
    <xdr:clientData/>
  </xdr:twoCellAnchor>
  <xdr:twoCellAnchor editAs="absolute">
    <xdr:from>
      <xdr:col>8</xdr:col>
      <xdr:colOff>524566</xdr:colOff>
      <xdr:row>26</xdr:row>
      <xdr:rowOff>101230</xdr:rowOff>
    </xdr:from>
    <xdr:to>
      <xdr:col>13</xdr:col>
      <xdr:colOff>303696</xdr:colOff>
      <xdr:row>28</xdr:row>
      <xdr:rowOff>36812</xdr:rowOff>
    </xdr:to>
    <xdr:sp macro="" textlink="">
      <xdr:nvSpPr>
        <xdr:cNvPr id="67" name="TextBox 66">
          <a:extLst>
            <a:ext uri="{FF2B5EF4-FFF2-40B4-BE49-F238E27FC236}">
              <a16:creationId xmlns:a16="http://schemas.microsoft.com/office/drawing/2014/main" id="{99BB0F0E-590B-53D6-038D-39FABF985549}"/>
            </a:ext>
          </a:extLst>
        </xdr:cNvPr>
        <xdr:cNvSpPr txBox="1"/>
      </xdr:nvSpPr>
      <xdr:spPr>
        <a:xfrm>
          <a:off x="5751812" y="5126013"/>
          <a:ext cx="3046159" cy="322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rPr>
            <a:t>Attrition by Age Group</a:t>
          </a:r>
        </a:p>
      </xdr:txBody>
    </xdr:sp>
    <xdr:clientData/>
  </xdr:twoCellAnchor>
  <xdr:twoCellAnchor editAs="absolute">
    <xdr:from>
      <xdr:col>14</xdr:col>
      <xdr:colOff>607391</xdr:colOff>
      <xdr:row>26</xdr:row>
      <xdr:rowOff>101230</xdr:rowOff>
    </xdr:from>
    <xdr:to>
      <xdr:col>18</xdr:col>
      <xdr:colOff>469348</xdr:colOff>
      <xdr:row>28</xdr:row>
      <xdr:rowOff>46014</xdr:rowOff>
    </xdr:to>
    <xdr:sp macro="" textlink="">
      <xdr:nvSpPr>
        <xdr:cNvPr id="69" name="TextBox 68">
          <a:extLst>
            <a:ext uri="{FF2B5EF4-FFF2-40B4-BE49-F238E27FC236}">
              <a16:creationId xmlns:a16="http://schemas.microsoft.com/office/drawing/2014/main" id="{1A8C2718-A1A7-7079-7E2B-FEE33755422A}"/>
            </a:ext>
          </a:extLst>
        </xdr:cNvPr>
        <xdr:cNvSpPr txBox="1"/>
      </xdr:nvSpPr>
      <xdr:spPr>
        <a:xfrm>
          <a:off x="9755072" y="5126013"/>
          <a:ext cx="2475580"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C00000"/>
              </a:solidFill>
            </a:rPr>
            <a:t>Attrition by Marital Status</a:t>
          </a:r>
        </a:p>
      </xdr:txBody>
    </xdr:sp>
    <xdr:clientData/>
  </xdr:twoCellAnchor>
  <xdr:twoCellAnchor editAs="absolute">
    <xdr:from>
      <xdr:col>19</xdr:col>
      <xdr:colOff>588986</xdr:colOff>
      <xdr:row>26</xdr:row>
      <xdr:rowOff>110434</xdr:rowOff>
    </xdr:from>
    <xdr:to>
      <xdr:col>23</xdr:col>
      <xdr:colOff>414131</xdr:colOff>
      <xdr:row>28</xdr:row>
      <xdr:rowOff>46015</xdr:rowOff>
    </xdr:to>
    <xdr:sp macro="" textlink="">
      <xdr:nvSpPr>
        <xdr:cNvPr id="71" name="TextBox 70">
          <a:extLst>
            <a:ext uri="{FF2B5EF4-FFF2-40B4-BE49-F238E27FC236}">
              <a16:creationId xmlns:a16="http://schemas.microsoft.com/office/drawing/2014/main" id="{27FCA77B-5B04-DFB9-E93A-492E979B2A35}"/>
            </a:ext>
          </a:extLst>
        </xdr:cNvPr>
        <xdr:cNvSpPr txBox="1"/>
      </xdr:nvSpPr>
      <xdr:spPr>
        <a:xfrm>
          <a:off x="13003696" y="5135217"/>
          <a:ext cx="2438768" cy="322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rPr>
            <a:t>Filter Panel</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0.21676</cdr:x>
      <cdr:y>0.46719</cdr:y>
    </cdr:from>
    <cdr:to>
      <cdr:x>0.44708</cdr:x>
      <cdr:y>0.70476</cdr:y>
    </cdr:to>
    <cdr:sp macro="" textlink="Gender!$B$10">
      <cdr:nvSpPr>
        <cdr:cNvPr id="2" name="TextBox 53">
          <a:extLst xmlns:a="http://schemas.openxmlformats.org/drawingml/2006/main">
            <a:ext uri="{FF2B5EF4-FFF2-40B4-BE49-F238E27FC236}">
              <a16:creationId xmlns:a16="http://schemas.microsoft.com/office/drawing/2014/main" id="{00E52BF8-A502-081F-9531-35D9A1CA80D3}"/>
            </a:ext>
          </a:extLst>
        </cdr:cNvPr>
        <cdr:cNvSpPr txBox="1"/>
      </cdr:nvSpPr>
      <cdr:spPr>
        <a:xfrm xmlns:a="http://schemas.openxmlformats.org/drawingml/2006/main">
          <a:off x="424898" y="629721"/>
          <a:ext cx="451469" cy="3202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AFCAE9AD-25AD-4796-B39A-CA0C39DE799C}" type="TxLink">
            <a:rPr lang="en-US" sz="1200" b="1" i="0" u="none" strike="noStrike">
              <a:solidFill>
                <a:srgbClr val="000000"/>
              </a:solidFill>
              <a:latin typeface="Calibri"/>
              <a:ea typeface="Calibri"/>
              <a:cs typeface="Calibri"/>
            </a:rPr>
            <a:pPr/>
            <a:t>588</a:t>
          </a:fld>
          <a:endParaRPr lang="en-IN" sz="1100" b="1"/>
        </a:p>
      </cdr:txBody>
    </cdr:sp>
  </cdr:relSizeAnchor>
</c:userShapes>
</file>

<file path=xl/drawings/drawing7.xml><?xml version="1.0" encoding="utf-8"?>
<c:userShapes xmlns:c="http://schemas.openxmlformats.org/drawingml/2006/chart">
  <cdr:relSizeAnchor xmlns:cdr="http://schemas.openxmlformats.org/drawingml/2006/chartDrawing">
    <cdr:from>
      <cdr:x>0.42338</cdr:x>
      <cdr:y>0.45748</cdr:y>
    </cdr:from>
    <cdr:to>
      <cdr:x>0.73098</cdr:x>
      <cdr:y>0.7442</cdr:y>
    </cdr:to>
    <cdr:sp macro="" textlink="Gender!$B$11">
      <cdr:nvSpPr>
        <cdr:cNvPr id="2" name="TextBox 53">
          <a:extLst xmlns:a="http://schemas.openxmlformats.org/drawingml/2006/main">
            <a:ext uri="{FF2B5EF4-FFF2-40B4-BE49-F238E27FC236}">
              <a16:creationId xmlns:a16="http://schemas.microsoft.com/office/drawing/2014/main" id="{60484999-80E2-6F82-2EF0-CEB180270D20}"/>
            </a:ext>
          </a:extLst>
        </cdr:cNvPr>
        <cdr:cNvSpPr txBox="1"/>
      </cdr:nvSpPr>
      <cdr:spPr>
        <a:xfrm xmlns:a="http://schemas.openxmlformats.org/drawingml/2006/main">
          <a:off x="621380" y="510945"/>
          <a:ext cx="451469" cy="3202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F0FB437E-C964-43AD-B76C-8C074B556C6A}" type="TxLink">
            <a:rPr lang="en-US" sz="1200" b="1" i="0" u="none" strike="noStrike">
              <a:solidFill>
                <a:srgbClr val="000000"/>
              </a:solidFill>
              <a:latin typeface="Calibri"/>
              <a:ea typeface="Calibri"/>
              <a:cs typeface="Calibri"/>
            </a:rPr>
            <a:pPr/>
            <a:t>882</a:t>
          </a:fld>
          <a:endParaRPr lang="en-IN" sz="1100" b="1"/>
        </a:p>
      </cdr:txBody>
    </cdr:sp>
  </cdr:relSizeAnchor>
</c:userShapes>
</file>

<file path=xl/drawings/drawing8.xml><?xml version="1.0" encoding="utf-8"?>
<xdr:wsDr xmlns:xdr="http://schemas.openxmlformats.org/drawingml/2006/spreadsheetDrawing" xmlns:a="http://schemas.openxmlformats.org/drawingml/2006/main">
  <xdr:oneCellAnchor>
    <xdr:from>
      <xdr:col>1</xdr:col>
      <xdr:colOff>0</xdr:colOff>
      <xdr:row>2</xdr:row>
      <xdr:rowOff>0</xdr:rowOff>
    </xdr:from>
    <xdr:ext cx="14725650" cy="7477125"/>
    <xdr:grpSp>
      <xdr:nvGrpSpPr>
        <xdr:cNvPr id="2" name="Shape 2">
          <a:extLst>
            <a:ext uri="{FF2B5EF4-FFF2-40B4-BE49-F238E27FC236}">
              <a16:creationId xmlns:a16="http://schemas.microsoft.com/office/drawing/2014/main" id="{17774A5B-F84A-4293-A055-FC881702CA92}"/>
            </a:ext>
          </a:extLst>
        </xdr:cNvPr>
        <xdr:cNvGrpSpPr/>
      </xdr:nvGrpSpPr>
      <xdr:grpSpPr>
        <a:xfrm>
          <a:off x="660400" y="393700"/>
          <a:ext cx="14725650" cy="7477125"/>
          <a:chOff x="0" y="41438"/>
          <a:chExt cx="10692000" cy="7477125"/>
        </a:xfrm>
      </xdr:grpSpPr>
      <xdr:grpSp>
        <xdr:nvGrpSpPr>
          <xdr:cNvPr id="3" name="Shape 3">
            <a:extLst>
              <a:ext uri="{FF2B5EF4-FFF2-40B4-BE49-F238E27FC236}">
                <a16:creationId xmlns:a16="http://schemas.microsoft.com/office/drawing/2014/main" id="{4FDB63ED-766C-B9D9-1F1F-F85F31010F0E}"/>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18B02968-1E37-A5AD-942B-28D83431D8A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76402A0C-63D4-F7E7-FBFF-E4411A91527D}"/>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F1C8B045-D518-1680-E74D-A323C1A485CE}"/>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15DED844-B3D8-6C2D-F057-ACC325B48723}"/>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E224E60F-A088-855F-C2A8-CF6D82C663D8}"/>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EDF4524F-3E28-9809-D2CD-AAE3898CC2A5}"/>
                </a:ext>
              </a:extLst>
            </xdr:cNvPr>
            <xdr:cNvGrpSpPr/>
          </xdr:nvGrpSpPr>
          <xdr:grpSpPr>
            <a:xfrm>
              <a:off x="1846116" y="1215714"/>
              <a:ext cx="13289109" cy="998848"/>
              <a:chOff x="1846116" y="1215714"/>
              <a:chExt cx="13403409" cy="998848"/>
            </a:xfrm>
          </xdr:grpSpPr>
          <xdr:sp macro="" textlink="">
            <xdr:nvSpPr>
              <xdr:cNvPr id="24" name="Shape 10">
                <a:extLst>
                  <a:ext uri="{FF2B5EF4-FFF2-40B4-BE49-F238E27FC236}">
                    <a16:creationId xmlns:a16="http://schemas.microsoft.com/office/drawing/2014/main" id="{4D5C5024-1CED-86B0-3AAB-EE662B82ED98}"/>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11">
                <a:extLst>
                  <a:ext uri="{FF2B5EF4-FFF2-40B4-BE49-F238E27FC236}">
                    <a16:creationId xmlns:a16="http://schemas.microsoft.com/office/drawing/2014/main" id="{C1B5CA5D-4093-722D-8223-00CCDD03807F}"/>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12">
                <a:extLst>
                  <a:ext uri="{FF2B5EF4-FFF2-40B4-BE49-F238E27FC236}">
                    <a16:creationId xmlns:a16="http://schemas.microsoft.com/office/drawing/2014/main" id="{7A5C6689-E05E-A741-EAAE-3E74E3E19746}"/>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13">
                <a:extLst>
                  <a:ext uri="{FF2B5EF4-FFF2-40B4-BE49-F238E27FC236}">
                    <a16:creationId xmlns:a16="http://schemas.microsoft.com/office/drawing/2014/main" id="{C1C610D0-BD6F-5F74-CDAC-DF81247F50F8}"/>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14">
                <a:extLst>
                  <a:ext uri="{FF2B5EF4-FFF2-40B4-BE49-F238E27FC236}">
                    <a16:creationId xmlns:a16="http://schemas.microsoft.com/office/drawing/2014/main" id="{126375C2-25C2-73E3-D104-AE2C43A22CC8}"/>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15">
              <a:extLst>
                <a:ext uri="{FF2B5EF4-FFF2-40B4-BE49-F238E27FC236}">
                  <a16:creationId xmlns:a16="http://schemas.microsoft.com/office/drawing/2014/main" id="{8EFDDB60-FDC6-72BF-15C2-696E1FEF1D29}"/>
                </a:ext>
              </a:extLst>
            </xdr:cNvPr>
            <xdr:cNvGrpSpPr/>
          </xdr:nvGrpSpPr>
          <xdr:grpSpPr>
            <a:xfrm>
              <a:off x="1847145" y="5162550"/>
              <a:ext cx="3867930" cy="2709509"/>
              <a:chOff x="1847145" y="2304895"/>
              <a:chExt cx="3867930" cy="2772878"/>
            </a:xfrm>
          </xdr:grpSpPr>
          <xdr:sp macro="" textlink="">
            <xdr:nvSpPr>
              <xdr:cNvPr id="22" name="Shape 16">
                <a:extLst>
                  <a:ext uri="{FF2B5EF4-FFF2-40B4-BE49-F238E27FC236}">
                    <a16:creationId xmlns:a16="http://schemas.microsoft.com/office/drawing/2014/main" id="{D2010D9B-4F6F-ECE7-2991-01FAA05337C6}"/>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17">
                <a:extLst>
                  <a:ext uri="{FF2B5EF4-FFF2-40B4-BE49-F238E27FC236}">
                    <a16:creationId xmlns:a16="http://schemas.microsoft.com/office/drawing/2014/main" id="{0FF12CDC-26A9-AADD-7739-E24573773A83}"/>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18">
              <a:extLst>
                <a:ext uri="{FF2B5EF4-FFF2-40B4-BE49-F238E27FC236}">
                  <a16:creationId xmlns:a16="http://schemas.microsoft.com/office/drawing/2014/main" id="{7B4409A7-9478-4760-52BE-77864C4950BF}"/>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19">
              <a:extLst>
                <a:ext uri="{FF2B5EF4-FFF2-40B4-BE49-F238E27FC236}">
                  <a16:creationId xmlns:a16="http://schemas.microsoft.com/office/drawing/2014/main" id="{F3055E0A-2A0C-FD5A-3ACE-CA1B325630C9}"/>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20">
              <a:extLst>
                <a:ext uri="{FF2B5EF4-FFF2-40B4-BE49-F238E27FC236}">
                  <a16:creationId xmlns:a16="http://schemas.microsoft.com/office/drawing/2014/main" id="{2AFB5778-0E8A-A94C-EDA4-F8884FE5C696}"/>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21">
              <a:extLst>
                <a:ext uri="{FF2B5EF4-FFF2-40B4-BE49-F238E27FC236}">
                  <a16:creationId xmlns:a16="http://schemas.microsoft.com/office/drawing/2014/main" id="{F5C27F55-9F85-8030-73C8-061FC1B26529}"/>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22">
              <a:extLst>
                <a:ext uri="{FF2B5EF4-FFF2-40B4-BE49-F238E27FC236}">
                  <a16:creationId xmlns:a16="http://schemas.microsoft.com/office/drawing/2014/main" id="{99397B14-FCDF-9105-F3DC-91C5A302325D}"/>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23">
              <a:extLst>
                <a:ext uri="{FF2B5EF4-FFF2-40B4-BE49-F238E27FC236}">
                  <a16:creationId xmlns:a16="http://schemas.microsoft.com/office/drawing/2014/main" id="{AB398C6E-C62E-8073-290F-E6CD03F847EA}"/>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24">
              <a:extLst>
                <a:ext uri="{FF2B5EF4-FFF2-40B4-BE49-F238E27FC236}">
                  <a16:creationId xmlns:a16="http://schemas.microsoft.com/office/drawing/2014/main" id="{8B3F7077-2F77-90BC-845C-7E5B06D9E18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25">
              <a:extLst>
                <a:ext uri="{FF2B5EF4-FFF2-40B4-BE49-F238E27FC236}">
                  <a16:creationId xmlns:a16="http://schemas.microsoft.com/office/drawing/2014/main" id="{E2E99E1F-139A-86D4-BC68-5F74A0B77071}"/>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26">
              <a:extLst>
                <a:ext uri="{FF2B5EF4-FFF2-40B4-BE49-F238E27FC236}">
                  <a16:creationId xmlns:a16="http://schemas.microsoft.com/office/drawing/2014/main" id="{F36809A0-650E-26EB-5C87-022F07555756}"/>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27">
              <a:extLst>
                <a:ext uri="{FF2B5EF4-FFF2-40B4-BE49-F238E27FC236}">
                  <a16:creationId xmlns:a16="http://schemas.microsoft.com/office/drawing/2014/main" id="{018CD505-32A9-2C0D-3FB6-3729361F28B4}"/>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28">
              <a:extLst>
                <a:ext uri="{FF2B5EF4-FFF2-40B4-BE49-F238E27FC236}">
                  <a16:creationId xmlns:a16="http://schemas.microsoft.com/office/drawing/2014/main" id="{B9834912-D4C6-A183-93CA-DE28C7D953F7}"/>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9617" y="289983"/>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457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6584" y="522126"/>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solidFill>
                  <a:schemeClr val="bg1"/>
                </a:solidFill>
              </a:endParaRPr>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bg1"/>
                  </a:solidFill>
                  <a:latin typeface="Calibri"/>
                  <a:ea typeface="Calibri"/>
                  <a:cs typeface="Calibri"/>
                  <a:sym typeface="Calibri"/>
                </a:rPr>
                <a:t>`</a:t>
              </a:r>
              <a:endParaRPr sz="1400">
                <a:solidFill>
                  <a:schemeClr val="bg1"/>
                </a:solidFill>
              </a:endParaRPr>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chemeClr val="bg1"/>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b" refreshedDate="46039.696849189815" createdVersion="8" refreshedVersion="8" minRefreshableVersion="3" recordCount="1470" xr:uid="{A0AD98FD-762D-4100-A2CF-F3F0DB73C633}">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35061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1C195D-87B9-4042-BE98-7873DEE968A8}" name="KPI"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2">
    <format dxfId="58">
      <pivotArea dataOnly="0" labelOnly="1" outline="0" axis="axisValues" fieldPosition="0"/>
    </format>
    <format dxfId="57">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5147BA-EDD7-4F8F-BFF7-0233C46EB3F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2">
    <format dxfId="56">
      <pivotArea outline="0" collapsedLevelsAreSubtotals="1" fieldPosition="0"/>
    </format>
    <format dxfId="5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EE83B3-0CFD-46AA-BFBE-3F4E2642573B}" name="Gen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C5A3E-518B-4488-8F7A-5A3B9DE96385}" name="education_by 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739BE1-B39C-4D7A-A173-AD2605BB2BAA}" name="Attrition_by_job"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measureFilter="1"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v="2"/>
    </i>
    <i>
      <x v="7"/>
    </i>
    <i>
      <x v="6"/>
    </i>
    <i>
      <x v="8"/>
    </i>
    <i>
      <x v="1"/>
    </i>
    <i t="grand">
      <x/>
    </i>
  </rowItems>
  <colItems count="1">
    <i/>
  </colItems>
  <dataFields count="1">
    <dataField name="Sum of CF_attrition rate" fld="19" baseField="0" baseItem="0"/>
  </dataField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111223-292E-4938-83F6-500E76F2CDB9}" name="Dept_attri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showDataAs="percentOfCol" baseField="0" baseItem="0" numFmtId="1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9604FC-C087-46EC-A613-F429C107E1B9}" name="Attrition_by_agegrou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AB7D11-3427-42F5-B018-1BDFAE1CA691}" name="Marital_statu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1DF796E-A870-45D6-BA4F-1E23464A5A35}" sourceName="Gender">
  <pivotTables>
    <pivotTable tabId="10" name="Gender"/>
    <pivotTable tabId="14" name="Attrition_by_agegroup"/>
    <pivotTable tabId="12" name="Attrition_by_job"/>
    <pivotTable tabId="13" name="Dept_attrition"/>
    <pivotTable tabId="11" name="education_by Attrition"/>
    <pivotTable tabId="7" name="KPI"/>
    <pivotTable tabId="15" name="Marital_status"/>
    <pivotTable tabId="9" name="PivotTable2"/>
  </pivotTables>
  <data>
    <tabular pivotCacheId="6350617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5172E37-A994-47B0-BF0D-4FBEC1C34ADE}" sourceName="Department">
  <pivotTables>
    <pivotTable tabId="15" name="Marital_status"/>
    <pivotTable tabId="14" name="Attrition_by_agegroup"/>
    <pivotTable tabId="12" name="Attrition_by_job"/>
    <pivotTable tabId="13" name="Dept_attrition"/>
    <pivotTable tabId="11" name="education_by Attrition"/>
    <pivotTable tabId="10" name="Gender"/>
    <pivotTable tabId="7" name="KPI"/>
    <pivotTable tabId="9" name="PivotTable2"/>
  </pivotTables>
  <data>
    <tabular pivotCacheId="63506178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E9CC70A-12C3-4E6B-A804-A26C7522B998}" sourceName="Education Field">
  <pivotTables>
    <pivotTable tabId="15" name="Marital_status"/>
    <pivotTable tabId="14" name="Attrition_by_agegroup"/>
    <pivotTable tabId="12" name="Attrition_by_job"/>
    <pivotTable tabId="13" name="Dept_attrition"/>
    <pivotTable tabId="11" name="education_by Attrition"/>
    <pivotTable tabId="10" name="Gender"/>
    <pivotTable tabId="7" name="KPI"/>
    <pivotTable tabId="9" name="PivotTable2"/>
  </pivotTables>
  <data>
    <tabular pivotCacheId="63506178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619E053-759A-4C11-9BB3-C508D5BEE525}" cache="Slicer_Gender1" caption="Gender" rowHeight="262466"/>
  <slicer name="Education Field" xr10:uid="{717D6736-FA12-4A3C-9CB0-C8AC7A73ECC1}" cache="Slicer_Education_Field2" caption="Education Field"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B5603CF1-0ECD-4F6A-B40D-DBB7B0F7764D}" cache="Slicer_Education_Field2"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6D8C9E3-C1BF-49F9-B536-C1CEF485663C}" cache="Slicer_Department" caption="Department" rowHeight="262466"/>
  <slicer name="Education Field 2" xr10:uid="{1275A1C2-DB4B-4640-A326-18DBB72498A7}"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2209C05-D2BC-44D2-8BCF-94289090E19E}" cache="Slicer_Gender1" caption="Gender" columnCount="2" style="Slicer Style 2" rowHeight="262466"/>
  <slicer name="Department 1" xr10:uid="{D107BB5C-B8C4-4D02-A27C-A5751CBB6FE4}" cache="Slicer_Department" style="Slicer Style 2" rowHeight="262466"/>
  <slicer name="Education Field 3" xr10:uid="{E3FC0A89-FA3D-4278-94A0-36281829787B}" cache="Slicer_Education_Field2" style="Slicer Style 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54" dataDxfId="53" totalsRowDxfId="52">
  <tableColumns count="44">
    <tableColumn id="1" xr3:uid="{00000000-0010-0000-0000-000001000000}" name="Attrition" dataDxfId="51"/>
    <tableColumn id="2" xr3:uid="{00000000-0010-0000-0000-000002000000}" name="Business Travel" dataDxfId="50"/>
    <tableColumn id="3" xr3:uid="{00000000-0010-0000-0000-000003000000}" name="CF_age band" dataDxfId="49"/>
    <tableColumn id="4" xr3:uid="{00000000-0010-0000-0000-000004000000}" name="CF_attrition label" dataDxfId="48"/>
    <tableColumn id="5" xr3:uid="{00000000-0010-0000-0000-000005000000}" name="Department" dataDxfId="47"/>
    <tableColumn id="6" xr3:uid="{00000000-0010-0000-0000-000006000000}" name="Education Field" dataDxfId="46"/>
    <tableColumn id="7" xr3:uid="{00000000-0010-0000-0000-000007000000}" name="emp no" dataDxfId="45"/>
    <tableColumn id="8" xr3:uid="{00000000-0010-0000-0000-000008000000}" name="Employee Number" dataDxfId="44"/>
    <tableColumn id="9" xr3:uid="{00000000-0010-0000-0000-000009000000}" name="Gender" dataDxfId="43"/>
    <tableColumn id="10" xr3:uid="{00000000-0010-0000-0000-00000A000000}" name="Job Role" dataDxfId="42"/>
    <tableColumn id="11" xr3:uid="{00000000-0010-0000-0000-00000B000000}" name="Marital Status" dataDxfId="41"/>
    <tableColumn id="12" xr3:uid="{00000000-0010-0000-0000-00000C000000}" name="Over Time" dataDxfId="40"/>
    <tableColumn id="13" xr3:uid="{00000000-0010-0000-0000-00000D000000}" name="Over18" dataDxfId="39"/>
    <tableColumn id="14" xr3:uid="{00000000-0010-0000-0000-00000E000000}" name="Training Times Last Year" dataDxfId="38"/>
    <tableColumn id="15" xr3:uid="{00000000-0010-0000-0000-00000F000000}" name="-2" dataDxfId="37"/>
    <tableColumn id="16" xr3:uid="{00000000-0010-0000-0000-000010000000}" name="0" dataDxfId="36"/>
    <tableColumn id="17" xr3:uid="{00000000-0010-0000-0000-000011000000}" name="Age" dataDxfId="35"/>
    <tableColumn id="18" xr3:uid="{00000000-0010-0000-0000-000012000000}" name="CF_attrition count" dataDxfId="34"/>
    <tableColumn id="19" xr3:uid="{00000000-0010-0000-0000-000013000000}" name="CF_attrition counts" dataDxfId="33"/>
    <tableColumn id="20" xr3:uid="{00000000-0010-0000-0000-000014000000}" name="CF_attrition rate" dataDxfId="32"/>
    <tableColumn id="21" xr3:uid="{00000000-0010-0000-0000-000015000000}" name="CF_current Employee" dataDxfId="31"/>
    <tableColumn id="22" xr3:uid="{00000000-0010-0000-0000-000016000000}" name="Daily Rate" dataDxfId="30"/>
    <tableColumn id="23" xr3:uid="{00000000-0010-0000-0000-000017000000}" name="Distance From Home" dataDxfId="29"/>
    <tableColumn id="24" xr3:uid="{00000000-0010-0000-0000-000018000000}" name="Education" dataDxfId="28"/>
    <tableColumn id="25" xr3:uid="{00000000-0010-0000-0000-000019000000}" name="Employee Count" dataDxfId="27"/>
    <tableColumn id="26" xr3:uid="{00000000-0010-0000-0000-00001A000000}" name="Environment Satisfaction" dataDxfId="26"/>
    <tableColumn id="27" xr3:uid="{00000000-0010-0000-0000-00001B000000}" name="Hourly Rate" dataDxfId="25"/>
    <tableColumn id="28" xr3:uid="{00000000-0010-0000-0000-00001C000000}" name="Job Involvement" dataDxfId="24"/>
    <tableColumn id="29" xr3:uid="{00000000-0010-0000-0000-00001D000000}" name="Job Level" dataDxfId="23"/>
    <tableColumn id="30" xr3:uid="{00000000-0010-0000-0000-00001E000000}" name="Job Satisfaction" dataDxfId="22"/>
    <tableColumn id="31" xr3:uid="{00000000-0010-0000-0000-00001F000000}" name="Monthly Income" dataDxfId="21"/>
    <tableColumn id="32" xr3:uid="{00000000-0010-0000-0000-000020000000}" name="Monthly Rate" dataDxfId="20"/>
    <tableColumn id="33" xr3:uid="{00000000-0010-0000-0000-000021000000}" name="Num Companies Worked" dataDxfId="19"/>
    <tableColumn id="34" xr3:uid="{00000000-0010-0000-0000-000022000000}" name="Percent Salary Hike" dataDxfId="18"/>
    <tableColumn id="35" xr3:uid="{00000000-0010-0000-0000-000023000000}" name="Performance Rating" dataDxfId="17"/>
    <tableColumn id="36" xr3:uid="{00000000-0010-0000-0000-000024000000}" name="Relationship Satisfaction" dataDxfId="16"/>
    <tableColumn id="37" xr3:uid="{00000000-0010-0000-0000-000025000000}" name="Standard Hours" dataDxfId="15"/>
    <tableColumn id="38" xr3:uid="{00000000-0010-0000-0000-000026000000}" name="Stock Option Level" dataDxfId="14"/>
    <tableColumn id="39" xr3:uid="{00000000-0010-0000-0000-000027000000}" name="Total Working Years" dataDxfId="13"/>
    <tableColumn id="40" xr3:uid="{00000000-0010-0000-0000-000028000000}" name="Work Life Balance" dataDxfId="12"/>
    <tableColumn id="41" xr3:uid="{00000000-0010-0000-0000-000029000000}" name="Years At Company" dataDxfId="11"/>
    <tableColumn id="42" xr3:uid="{00000000-0010-0000-0000-00002A000000}" name="Years In Current Role" dataDxfId="10"/>
    <tableColumn id="43" xr3:uid="{00000000-0010-0000-0000-00002B000000}" name="Years Since Last Promotion" dataDxfId="9"/>
    <tableColumn id="44" xr3:uid="{00000000-0010-0000-0000-00002C000000}" name="Years With Curr Manager" dataDxfId="8"/>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DC8F-517C-4D37-8F66-7606F3B60124}">
  <dimension ref="A3:E8"/>
  <sheetViews>
    <sheetView workbookViewId="0">
      <selection activeCell="B13" sqref="B13"/>
    </sheetView>
  </sheetViews>
  <sheetFormatPr defaultRowHeight="15.5" x14ac:dyDescent="0.35"/>
  <cols>
    <col min="1" max="1" width="23.83203125" bestFit="1" customWidth="1"/>
    <col min="2" max="2" width="22.08203125" bestFit="1" customWidth="1"/>
    <col min="3" max="3" width="13.08203125" bestFit="1" customWidth="1"/>
    <col min="4" max="4" width="15.25" bestFit="1" customWidth="1"/>
  </cols>
  <sheetData>
    <row r="3" spans="1:5" x14ac:dyDescent="0.35">
      <c r="A3" s="3" t="s">
        <v>1554</v>
      </c>
      <c r="B3" s="6" t="s">
        <v>1555</v>
      </c>
      <c r="C3" s="5" t="s">
        <v>1556</v>
      </c>
    </row>
    <row r="4" spans="1:5" x14ac:dyDescent="0.35">
      <c r="A4" s="25">
        <v>1470</v>
      </c>
      <c r="B4" s="26">
        <v>237</v>
      </c>
      <c r="C4" s="7">
        <v>36.923809523809524</v>
      </c>
    </row>
    <row r="6" spans="1:5" x14ac:dyDescent="0.35">
      <c r="A6" s="8" t="s">
        <v>1557</v>
      </c>
      <c r="B6" s="8" t="s">
        <v>1558</v>
      </c>
      <c r="C6" s="8" t="s">
        <v>1559</v>
      </c>
      <c r="D6" s="8" t="s">
        <v>1560</v>
      </c>
      <c r="E6" s="8" t="s">
        <v>1561</v>
      </c>
    </row>
    <row r="7" spans="1:5" x14ac:dyDescent="0.35">
      <c r="A7">
        <f>GETPIVOTDATA("Count of Employee Number",$A$3)</f>
        <v>1470</v>
      </c>
      <c r="B7">
        <f>GETPIVOTDATA("Sum of CF_attrition count",$A$3)</f>
        <v>237</v>
      </c>
      <c r="C7" s="11">
        <f>GETPIVOTDATA("Average of Age",$A$3)</f>
        <v>36.923809523809524</v>
      </c>
      <c r="D7">
        <f>A7-B7</f>
        <v>1233</v>
      </c>
      <c r="E7" s="9">
        <f>B7/A7</f>
        <v>0.16122448979591836</v>
      </c>
    </row>
    <row r="8" spans="1:5" x14ac:dyDescent="0.35">
      <c r="E8"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63972-F463-42A8-B7B5-D01202A3CBA9}">
  <dimension ref="A3:C7"/>
  <sheetViews>
    <sheetView workbookViewId="0">
      <selection activeCell="A4" sqref="A4"/>
    </sheetView>
  </sheetViews>
  <sheetFormatPr defaultRowHeight="15.5" x14ac:dyDescent="0.35"/>
  <cols>
    <col min="1" max="1" width="23.4140625" bestFit="1" customWidth="1"/>
  </cols>
  <sheetData>
    <row r="3" spans="1:3" x14ac:dyDescent="0.35">
      <c r="A3" s="4" t="s">
        <v>1562</v>
      </c>
    </row>
    <row r="4" spans="1:3" x14ac:dyDescent="0.35">
      <c r="A4" s="13">
        <v>2.6265306122448981</v>
      </c>
    </row>
    <row r="6" spans="1:3" x14ac:dyDescent="0.35">
      <c r="A6" s="8" t="s">
        <v>1563</v>
      </c>
      <c r="B6" s="10">
        <f>GETPIVOTDATA("Job Satisfaction",$A$3)</f>
        <v>2.6265306122448981</v>
      </c>
      <c r="C6">
        <f>B6/4</f>
        <v>0.65663265306122454</v>
      </c>
    </row>
    <row r="7" spans="1:3" x14ac:dyDescent="0.35">
      <c r="A7" s="8" t="s">
        <v>1564</v>
      </c>
      <c r="B7" s="10">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A277-FF5A-45D7-B579-999703647ADE}">
  <dimension ref="A3:C11"/>
  <sheetViews>
    <sheetView workbookViewId="0">
      <selection activeCell="K10" sqref="K10"/>
    </sheetView>
  </sheetViews>
  <sheetFormatPr defaultRowHeight="15.5" x14ac:dyDescent="0.35"/>
  <cols>
    <col min="1" max="1" width="12" bestFit="1" customWidth="1"/>
    <col min="2" max="2" width="22.08203125" bestFit="1" customWidth="1"/>
  </cols>
  <sheetData>
    <row r="3" spans="1:3" x14ac:dyDescent="0.35">
      <c r="A3" s="15" t="s">
        <v>1565</v>
      </c>
      <c r="B3" s="14" t="s">
        <v>1567</v>
      </c>
    </row>
    <row r="4" spans="1:3" x14ac:dyDescent="0.35">
      <c r="A4" s="16" t="s">
        <v>51</v>
      </c>
      <c r="B4" s="22">
        <v>588</v>
      </c>
    </row>
    <row r="5" spans="1:3" x14ac:dyDescent="0.35">
      <c r="A5" s="17" t="s">
        <v>62</v>
      </c>
      <c r="B5" s="24">
        <v>882</v>
      </c>
    </row>
    <row r="6" spans="1:3" x14ac:dyDescent="0.35">
      <c r="A6" s="18" t="s">
        <v>1566</v>
      </c>
      <c r="B6" s="23">
        <v>1470</v>
      </c>
    </row>
    <row r="10" spans="1:3" x14ac:dyDescent="0.35">
      <c r="A10" t="s">
        <v>51</v>
      </c>
      <c r="B10">
        <f>IFERROR(GETPIVOTDATA("Employee Count",$A$3,"Gender","Female"),0)</f>
        <v>588</v>
      </c>
      <c r="C10" s="9">
        <f>IFERROR(B10/($B$10+B11),0)</f>
        <v>0.4</v>
      </c>
    </row>
    <row r="11" spans="1:3" x14ac:dyDescent="0.35">
      <c r="A11" t="s">
        <v>62</v>
      </c>
      <c r="B11">
        <f>IFERROR(GETPIVOTDATA("Employee Count",$A$3,"Gender","Male"),0)</f>
        <v>882</v>
      </c>
      <c r="C11" s="9">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118E-A4C9-48FE-AC8A-C5E8E7E15D5F}">
  <dimension ref="A3:B9"/>
  <sheetViews>
    <sheetView workbookViewId="0">
      <selection activeCell="I5" sqref="I5"/>
    </sheetView>
  </sheetViews>
  <sheetFormatPr defaultRowHeight="15.5" x14ac:dyDescent="0.35"/>
  <cols>
    <col min="1" max="1" width="15.58203125" bestFit="1" customWidth="1"/>
    <col min="2" max="2" width="22.08203125" bestFit="1" customWidth="1"/>
  </cols>
  <sheetData>
    <row r="3" spans="1:2" x14ac:dyDescent="0.35">
      <c r="A3" s="15" t="s">
        <v>1565</v>
      </c>
      <c r="B3" s="14" t="s">
        <v>1555</v>
      </c>
    </row>
    <row r="4" spans="1:2" x14ac:dyDescent="0.35">
      <c r="A4" s="16" t="s">
        <v>134</v>
      </c>
      <c r="B4" s="22">
        <v>5</v>
      </c>
    </row>
    <row r="5" spans="1:2" x14ac:dyDescent="0.35">
      <c r="A5" s="17" t="s">
        <v>65</v>
      </c>
      <c r="B5" s="24">
        <v>31</v>
      </c>
    </row>
    <row r="6" spans="1:2" x14ac:dyDescent="0.35">
      <c r="A6" s="17" t="s">
        <v>55</v>
      </c>
      <c r="B6" s="24">
        <v>44</v>
      </c>
    </row>
    <row r="7" spans="1:2" x14ac:dyDescent="0.35">
      <c r="A7" s="17" t="s">
        <v>71</v>
      </c>
      <c r="B7" s="24">
        <v>58</v>
      </c>
    </row>
    <row r="8" spans="1:2" x14ac:dyDescent="0.35">
      <c r="A8" s="17" t="s">
        <v>77</v>
      </c>
      <c r="B8" s="24">
        <v>99</v>
      </c>
    </row>
    <row r="9" spans="1:2" x14ac:dyDescent="0.35">
      <c r="A9" s="18" t="s">
        <v>1566</v>
      </c>
      <c r="B9" s="23">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3A684-2E47-4FA9-9A48-0ADB6F1303B9}">
  <dimension ref="A3:E12"/>
  <sheetViews>
    <sheetView workbookViewId="0">
      <selection activeCell="A9" sqref="A9:B12"/>
    </sheetView>
  </sheetViews>
  <sheetFormatPr defaultRowHeight="15.5" x14ac:dyDescent="0.35"/>
  <cols>
    <col min="1" max="1" width="19.25" bestFit="1" customWidth="1"/>
    <col min="2" max="2" width="20.58203125" bestFit="1" customWidth="1"/>
    <col min="4" max="4" width="22.83203125" bestFit="1" customWidth="1"/>
  </cols>
  <sheetData>
    <row r="3" spans="1:5" x14ac:dyDescent="0.35">
      <c r="A3" s="15" t="s">
        <v>1565</v>
      </c>
      <c r="B3" s="14" t="s">
        <v>1568</v>
      </c>
      <c r="D3" t="s">
        <v>9</v>
      </c>
      <c r="E3" t="s">
        <v>0</v>
      </c>
    </row>
    <row r="4" spans="1:5" x14ac:dyDescent="0.35">
      <c r="A4" s="16" t="s">
        <v>68</v>
      </c>
      <c r="B4" s="22">
        <v>62</v>
      </c>
      <c r="D4" t="str">
        <f>A4</f>
        <v>Laboratory Technician</v>
      </c>
      <c r="E4">
        <f>GETPIVOTDATA("CF_attrition rate",$A$3,"Job Role",A4)</f>
        <v>62</v>
      </c>
    </row>
    <row r="5" spans="1:5" x14ac:dyDescent="0.35">
      <c r="A5" s="17" t="s">
        <v>52</v>
      </c>
      <c r="B5" s="24">
        <v>57</v>
      </c>
      <c r="D5" t="str">
        <f t="shared" ref="D5:D12" si="0">A5</f>
        <v>Sales Executive</v>
      </c>
      <c r="E5">
        <f t="shared" ref="E5:E12" si="1">GETPIVOTDATA("CF_attrition rate",$A$3,"Job Role",A5)</f>
        <v>57</v>
      </c>
    </row>
    <row r="6" spans="1:5" x14ac:dyDescent="0.35">
      <c r="A6" s="17" t="s">
        <v>63</v>
      </c>
      <c r="B6" s="24">
        <v>47</v>
      </c>
      <c r="D6" t="str">
        <f t="shared" si="0"/>
        <v>Research Scientist</v>
      </c>
      <c r="E6">
        <f t="shared" si="1"/>
        <v>47</v>
      </c>
    </row>
    <row r="7" spans="1:5" x14ac:dyDescent="0.35">
      <c r="A7" s="17" t="s">
        <v>99</v>
      </c>
      <c r="B7" s="24">
        <v>33</v>
      </c>
      <c r="D7" t="str">
        <f t="shared" si="0"/>
        <v>Sales Representative</v>
      </c>
      <c r="E7">
        <f t="shared" si="1"/>
        <v>33</v>
      </c>
    </row>
    <row r="8" spans="1:5" x14ac:dyDescent="0.35">
      <c r="A8" s="17" t="s">
        <v>163</v>
      </c>
      <c r="B8" s="24">
        <v>12</v>
      </c>
      <c r="D8" t="str">
        <f t="shared" si="0"/>
        <v>Human Resources</v>
      </c>
      <c r="E8">
        <f t="shared" si="1"/>
        <v>12</v>
      </c>
    </row>
    <row r="9" spans="1:5" x14ac:dyDescent="0.35">
      <c r="A9" s="18" t="s">
        <v>1566</v>
      </c>
      <c r="B9" s="23">
        <v>211</v>
      </c>
      <c r="D9" t="str">
        <f t="shared" si="0"/>
        <v>Grand Total</v>
      </c>
      <c r="E9" t="e">
        <f t="shared" si="1"/>
        <v>#REF!</v>
      </c>
    </row>
    <row r="10" spans="1:5" x14ac:dyDescent="0.35">
      <c r="D10">
        <f t="shared" si="0"/>
        <v>0</v>
      </c>
      <c r="E10" t="e">
        <f t="shared" si="1"/>
        <v>#REF!</v>
      </c>
    </row>
    <row r="11" spans="1:5" x14ac:dyDescent="0.35">
      <c r="D11">
        <f t="shared" si="0"/>
        <v>0</v>
      </c>
      <c r="E11" t="e">
        <f t="shared" si="1"/>
        <v>#REF!</v>
      </c>
    </row>
    <row r="12" spans="1:5" x14ac:dyDescent="0.35">
      <c r="D12">
        <f t="shared" si="0"/>
        <v>0</v>
      </c>
      <c r="E12" t="e">
        <f t="shared" si="1"/>
        <v>#REF!</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C926B-78C1-471F-8E71-16D64FDD8B5D}">
  <dimension ref="A3:B7"/>
  <sheetViews>
    <sheetView workbookViewId="0">
      <selection activeCell="B4" sqref="B4"/>
    </sheetView>
  </sheetViews>
  <sheetFormatPr defaultRowHeight="15.5" x14ac:dyDescent="0.35"/>
  <cols>
    <col min="1" max="1" width="12" bestFit="1" customWidth="1"/>
    <col min="2" max="2" width="22.83203125" bestFit="1" customWidth="1"/>
  </cols>
  <sheetData>
    <row r="3" spans="1:2" x14ac:dyDescent="0.35">
      <c r="A3" s="15" t="s">
        <v>1565</v>
      </c>
      <c r="B3" s="14" t="s">
        <v>1569</v>
      </c>
    </row>
    <row r="4" spans="1:2" x14ac:dyDescent="0.35">
      <c r="A4" s="16" t="s">
        <v>161</v>
      </c>
      <c r="B4" s="19">
        <v>5.0632911392405063E-2</v>
      </c>
    </row>
    <row r="5" spans="1:2" x14ac:dyDescent="0.35">
      <c r="A5" s="17" t="s">
        <v>60</v>
      </c>
      <c r="B5" s="20">
        <v>0.56118143459915615</v>
      </c>
    </row>
    <row r="6" spans="1:2" x14ac:dyDescent="0.35">
      <c r="A6" s="17" t="s">
        <v>48</v>
      </c>
      <c r="B6" s="20">
        <v>0.3881856540084388</v>
      </c>
    </row>
    <row r="7" spans="1:2" x14ac:dyDescent="0.35">
      <c r="A7" s="18" t="s">
        <v>1566</v>
      </c>
      <c r="B7" s="2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1D73-FDB1-4F15-846B-FDB4ABB6A616}">
  <dimension ref="A3:B9"/>
  <sheetViews>
    <sheetView workbookViewId="0">
      <selection activeCell="B15" sqref="B15"/>
    </sheetView>
  </sheetViews>
  <sheetFormatPr defaultRowHeight="15.5" x14ac:dyDescent="0.35"/>
  <cols>
    <col min="1" max="1" width="12" bestFit="1" customWidth="1"/>
    <col min="2" max="2" width="22.08203125" bestFit="1" customWidth="1"/>
  </cols>
  <sheetData>
    <row r="3" spans="1:2" x14ac:dyDescent="0.35">
      <c r="A3" s="15" t="s">
        <v>1565</v>
      </c>
      <c r="B3" s="14" t="s">
        <v>1555</v>
      </c>
    </row>
    <row r="4" spans="1:2" x14ac:dyDescent="0.35">
      <c r="A4" s="16" t="s">
        <v>69</v>
      </c>
      <c r="B4" s="22">
        <v>112</v>
      </c>
    </row>
    <row r="5" spans="1:2" x14ac:dyDescent="0.35">
      <c r="A5" s="17" t="s">
        <v>46</v>
      </c>
      <c r="B5" s="24">
        <v>51</v>
      </c>
    </row>
    <row r="6" spans="1:2" x14ac:dyDescent="0.35">
      <c r="A6" s="17" t="s">
        <v>92</v>
      </c>
      <c r="B6" s="24">
        <v>38</v>
      </c>
    </row>
    <row r="7" spans="1:2" x14ac:dyDescent="0.35">
      <c r="A7" s="17" t="s">
        <v>58</v>
      </c>
      <c r="B7" s="24">
        <v>25</v>
      </c>
    </row>
    <row r="8" spans="1:2" x14ac:dyDescent="0.35">
      <c r="A8" s="17" t="s">
        <v>75</v>
      </c>
      <c r="B8" s="24">
        <v>11</v>
      </c>
    </row>
    <row r="9" spans="1:2" x14ac:dyDescent="0.35">
      <c r="A9" s="18" t="s">
        <v>1566</v>
      </c>
      <c r="B9" s="23">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FAF3E-DB5C-4808-8F86-A53D395D0943}">
  <dimension ref="A3:E7"/>
  <sheetViews>
    <sheetView workbookViewId="0">
      <selection activeCell="B5" sqref="B5"/>
    </sheetView>
  </sheetViews>
  <sheetFormatPr defaultRowHeight="15.5" x14ac:dyDescent="0.35"/>
  <cols>
    <col min="1" max="1" width="12" bestFit="1" customWidth="1"/>
    <col min="2" max="2" width="15.33203125" bestFit="1" customWidth="1"/>
    <col min="4" max="4" width="12.33203125" bestFit="1" customWidth="1"/>
  </cols>
  <sheetData>
    <row r="3" spans="1:5" x14ac:dyDescent="0.35">
      <c r="A3" s="15" t="s">
        <v>1565</v>
      </c>
      <c r="B3" s="14" t="s">
        <v>1570</v>
      </c>
      <c r="D3" t="s">
        <v>10</v>
      </c>
      <c r="E3" t="s">
        <v>0</v>
      </c>
    </row>
    <row r="4" spans="1:5" x14ac:dyDescent="0.35">
      <c r="A4" s="16" t="s">
        <v>64</v>
      </c>
      <c r="B4" s="22">
        <v>673</v>
      </c>
      <c r="D4" t="str">
        <f>A4</f>
        <v>Married</v>
      </c>
      <c r="E4">
        <f>GETPIVOTDATA("Attrition",$A$3,"Marital Status",A4)</f>
        <v>673</v>
      </c>
    </row>
    <row r="5" spans="1:5" x14ac:dyDescent="0.35">
      <c r="A5" s="17" t="s">
        <v>53</v>
      </c>
      <c r="B5" s="24">
        <v>470</v>
      </c>
      <c r="D5" t="str">
        <f>A5</f>
        <v>Single</v>
      </c>
      <c r="E5">
        <f>GETPIVOTDATA("Attrition",$A$3,"Marital Status",A5)</f>
        <v>470</v>
      </c>
    </row>
    <row r="6" spans="1:5" x14ac:dyDescent="0.35">
      <c r="A6" s="17" t="s">
        <v>79</v>
      </c>
      <c r="B6" s="24">
        <v>327</v>
      </c>
      <c r="D6" t="str">
        <f>A6</f>
        <v>Divorced</v>
      </c>
      <c r="E6">
        <f>GETPIVOTDATA("Attrition",$A$3,"Marital Status",A6)</f>
        <v>327</v>
      </c>
    </row>
    <row r="7" spans="1:5" x14ac:dyDescent="0.35">
      <c r="A7" s="18" t="s">
        <v>1566</v>
      </c>
      <c r="B7" s="2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5" sqref="A1:AR1471"/>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style="2" customWidth="1"/>
    <col min="9" max="9" width="8.58203125" customWidth="1"/>
    <col min="10" max="10" width="23.33203125" customWidth="1"/>
    <col min="11" max="11" width="14.4140625" customWidth="1"/>
    <col min="12" max="12" width="11.25" customWidth="1"/>
    <col min="13" max="13" width="8.58203125" customWidth="1"/>
    <col min="14" max="14" width="22.75" style="2" customWidth="1"/>
    <col min="15" max="17" width="8.58203125" style="2" customWidth="1"/>
    <col min="18" max="18" width="17.9140625" style="2" customWidth="1"/>
    <col min="19" max="19" width="18.6640625" style="2" customWidth="1"/>
    <col min="20" max="20" width="16.4140625" style="2" customWidth="1"/>
    <col min="21" max="21" width="20.4140625" customWidth="1"/>
    <col min="22" max="22" width="11.08203125" customWidth="1"/>
    <col min="23" max="23" width="20.08203125" customWidth="1"/>
    <col min="24" max="24" width="16" customWidth="1"/>
    <col min="25" max="25" width="16.4140625" style="2" customWidth="1"/>
    <col min="26" max="26" width="23.58203125" style="2" customWidth="1"/>
    <col min="27" max="27" width="12.4140625" customWidth="1"/>
    <col min="28" max="28" width="16.4140625" style="2" customWidth="1"/>
    <col min="29" max="29" width="10.25" style="2" customWidth="1"/>
    <col min="30" max="30" width="15.6640625" style="2" customWidth="1"/>
    <col min="31" max="31" width="16.33203125" style="2" customWidth="1"/>
    <col min="32" max="32" width="14" style="2" customWidth="1"/>
    <col min="33" max="33" width="23.58203125" style="2" customWidth="1"/>
    <col min="34" max="34" width="18.75" style="2" customWidth="1"/>
    <col min="35" max="35" width="19.08203125" style="2" customWidth="1"/>
    <col min="36" max="36" width="23.33203125" style="2" customWidth="1"/>
    <col min="37" max="37" width="15.6640625" style="2" customWidth="1"/>
    <col min="38" max="38" width="18.25" style="2" customWidth="1"/>
    <col min="39" max="39" width="19.4140625" style="2" customWidth="1"/>
    <col min="40" max="40" width="17.58203125" style="2" customWidth="1"/>
    <col min="41" max="41" width="17.9140625" style="2" customWidth="1"/>
    <col min="42" max="42" width="20.33203125" style="2" customWidth="1"/>
    <col min="43" max="43" width="25.25" style="2" customWidth="1"/>
    <col min="44" max="44" width="23.6640625" style="2"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showGridLines="0" tabSelected="1" topLeftCell="A3" zoomScale="61" zoomScaleNormal="69" workbookViewId="0">
      <selection activeCell="AA24" sqref="AA24"/>
    </sheetView>
  </sheetViews>
  <sheetFormatPr defaultColWidth="11.25" defaultRowHeight="15" customHeight="1" x14ac:dyDescent="0.35"/>
  <cols>
    <col min="1" max="26" width="8.58203125" customWidth="1"/>
  </cols>
  <sheetData>
    <row r="1" spans="1:1" x14ac:dyDescent="0.35"/>
    <row r="2" spans="1:1" x14ac:dyDescent="0.35"/>
    <row r="3" spans="1:1" x14ac:dyDescent="0.35"/>
    <row r="4" spans="1:1" x14ac:dyDescent="0.35"/>
    <row r="5" spans="1:1" x14ac:dyDescent="0.35">
      <c r="A5" s="12"/>
    </row>
    <row r="6" spans="1:1" x14ac:dyDescent="0.35"/>
    <row r="7" spans="1:1" x14ac:dyDescent="0.35"/>
    <row r="8" spans="1:1" x14ac:dyDescent="0.35"/>
    <row r="9" spans="1:1" x14ac:dyDescent="0.35"/>
    <row r="10" spans="1:1" x14ac:dyDescent="0.35"/>
    <row r="11" spans="1:1" x14ac:dyDescent="0.35"/>
    <row r="12" spans="1:1" x14ac:dyDescent="0.35"/>
    <row r="13" spans="1:1" x14ac:dyDescent="0.35"/>
    <row r="14" spans="1:1" x14ac:dyDescent="0.35"/>
    <row r="15" spans="1:1" x14ac:dyDescent="0.35"/>
    <row r="16" spans="1:1" x14ac:dyDescent="0.35"/>
    <row r="17" x14ac:dyDescent="0.35"/>
    <row r="18" x14ac:dyDescent="0.35"/>
    <row r="19" x14ac:dyDescent="0.35"/>
    <row r="20" x14ac:dyDescent="0.35"/>
  </sheetData>
  <sheetProtection sheet="1" objects="1" scenarios="1" selectLockedCells="1" autoFilter="0" pivotTables="0" selectUnlockedCells="1"/>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914F-E274-4811-9F1F-C2D03C04AF5D}">
  <dimension ref="A1"/>
  <sheetViews>
    <sheetView topLeftCell="B20" workbookViewId="0">
      <selection activeCell="B3" sqref="B3"/>
    </sheetView>
  </sheetViews>
  <sheetFormatPr defaultRowHeight="15.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75" zoomScaleNormal="75"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topLeftCell="A3" zoomScale="49"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KPI</vt:lpstr>
      <vt:lpstr>Rating</vt:lpstr>
      <vt:lpstr>Gender</vt:lpstr>
      <vt:lpstr>Education byAattrition</vt:lpstr>
      <vt:lpstr>Attrition by job</vt:lpstr>
      <vt:lpstr>Dept_by_attrition</vt:lpstr>
      <vt:lpstr>ATTRITION by Age Group</vt:lpstr>
      <vt:lpstr>Marital status</vt:lpstr>
      <vt:lpstr>Data</vt:lpstr>
      <vt:lpstr>Images</vt:lpstr>
      <vt:lpstr>Dashboard</vt:lpstr>
      <vt:lpstr>Sheet2</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sanika b</cp:lastModifiedBy>
  <dcterms:created xsi:type="dcterms:W3CDTF">2022-12-29T16:02:46Z</dcterms:created>
  <dcterms:modified xsi:type="dcterms:W3CDTF">2026-02-27T07:33:07Z</dcterms:modified>
</cp:coreProperties>
</file>